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C655FB5F-049D-48D1-9341-164BD2697C54}" xr6:coauthVersionLast="47" xr6:coauthVersionMax="47" xr10:uidLastSave="{00000000-0000-0000-0000-000000000000}"/>
  <bookViews>
    <workbookView xWindow="-110" yWindow="-110" windowWidth="24220" windowHeight="15500" xr2:uid="{B80F1AF7-3B3C-4377-9F65-C4F92C971CAB}"/>
  </bookViews>
  <sheets>
    <sheet name="ER Detail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1" l="1"/>
  <c r="B25" i="1"/>
  <c r="E25" i="1"/>
  <c r="B24" i="1"/>
  <c r="E24" i="1"/>
  <c r="B23" i="1"/>
  <c r="E23" i="1"/>
  <c r="B22" i="1"/>
  <c r="E22" i="1"/>
  <c r="B21" i="1"/>
  <c r="E21" i="1"/>
  <c r="B20" i="1"/>
  <c r="E20" i="1"/>
  <c r="B19" i="1"/>
  <c r="E19" i="1"/>
  <c r="B18" i="1"/>
  <c r="E18" i="1"/>
  <c r="B17" i="1"/>
  <c r="E17" i="1"/>
  <c r="B16" i="1"/>
  <c r="E16" i="1"/>
  <c r="B15" i="1"/>
  <c r="E15" i="1"/>
  <c r="B14" i="1"/>
  <c r="E14" i="1"/>
  <c r="B13" i="1"/>
  <c r="E13" i="1"/>
  <c r="B12" i="1"/>
  <c r="E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<sst xmlns="http://schemas.openxmlformats.org/spreadsheetml/2006/main" count="72" uniqueCount="51">
  <si>
    <t>UNIFOCUS EXPENSE REPORT  |  New Orleans - InterContinental (HM Alpha)</t>
  </si>
  <si>
    <t>Start Date:</t>
  </si>
  <si>
    <t>End Date:</t>
  </si>
  <si>
    <t>NAME:</t>
  </si>
  <si>
    <t>Pete Castellano</t>
  </si>
  <si>
    <t>Date</t>
  </si>
  <si>
    <t>Day</t>
  </si>
  <si>
    <t>Amount</t>
  </si>
  <si>
    <t>Exchange Rate</t>
  </si>
  <si>
    <t>Amt in USD</t>
  </si>
  <si>
    <t>Paid by</t>
  </si>
  <si>
    <t>Details</t>
  </si>
  <si>
    <t>Category</t>
  </si>
  <si>
    <t>Billable/UF</t>
  </si>
  <si>
    <t>Charge Code</t>
  </si>
  <si>
    <t>PERSONAL</t>
  </si>
  <si>
    <t>SW round-trip OMA-MSY (CVMCLW): outbound OMA-DEN-MSY (WN2060/WN1643, rebooked from OMA-DAL-MSY - mechanical delay); return MSY-STL-OMA 7/9 (WN3021/WN4912) - card charge portion, Visa -2674</t>
  </si>
  <si>
    <t>Air Fare</t>
  </si>
  <si>
    <t>HM Alpha - InterContinental New Orleans</t>
  </si>
  <si>
    <t/>
  </si>
  <si>
    <t>SW round-trip OMA-MSY (CVMCLW) - SW travel credit applied</t>
  </si>
  <si>
    <t>HMSHost/Great Divide C, Denver Airport (DEN layover, mechanical delay) - taco barbacoa, soda, tip</t>
  </si>
  <si>
    <t>Lunch</t>
  </si>
  <si>
    <t>Uber - MSY Airport to InterContinental New Orleans (444 St Charles Ave), 15.96 mi/22 min, driver Kathryn, Visa -0733 (FNBO Evergreen)</t>
  </si>
  <si>
    <t>Taxi/Train/Bus</t>
  </si>
  <si>
    <t>SW fare difference - return leg rebooked MSY-DAL-OMA (WN4419/WN1374) replacing MSY-STL-OMA, Visa -2674</t>
  </si>
  <si>
    <t>Sazerac Bar, New Orleans Airport (MSY) - sweet chili glazed chicken sandwich, CC surcharge, tip</t>
  </si>
  <si>
    <t>Moe's Southwest Grill, DFW Airport (return layover) - chicken burrito bowl, Coke Zero, cookie, tip</t>
  </si>
  <si>
    <t>Dinner</t>
  </si>
  <si>
    <t>TOTAL</t>
  </si>
  <si>
    <t>UNIFOCUS ER QUICK REFERENCE (from ER Cheat Sheet.pdf, dated 5/10/2021 - verify still current with Ralph if in doubt)</t>
  </si>
  <si>
    <t>Paid by: UF (Unifocus paid directly, e.g. their-booked airfare), PERSONAL (you paid), OTHER (company card).</t>
  </si>
  <si>
    <t>Category: Air Fare, Taxi/Train/Bus, Car Rental, Gas/Tolls, Parking, Hotel, Bkfst, Lunch, Dinner, Phone/Data, Computer, Other, Postage, Misc.</t>
  </si>
  <si>
    <t xml:space="preserve">  -&gt; Meals are split by meal period (Bkfst/Lunch/Dinner), not one generic Meals line.</t>
  </si>
  <si>
    <t>Billable/UF column: enter the client name being billed (e.g. this report's HM Alpha - InterContinental New Orleans), or UF if not client-billable.</t>
  </si>
  <si>
    <t>Charge Code: leave BLANK when a client is being billed. Only use code 62 (consultant) if Unifocus itself is billed, not the client. Ralph watches this field closely.</t>
  </si>
  <si>
    <t>Exchange Rate: always 1.00 unless an international property - then use that day's rate.</t>
  </si>
  <si>
    <t>Amt in USD: auto-calculated (Amount x Exchange Rate) - never type into it directly.</t>
  </si>
  <si>
    <t>SUBMISSION (to Ralph Varble, confirmed 7/5/26):</t>
  </si>
  <si>
    <t>- New email with two attachments: (1) the completed Excel file, named with your last name, (2) receipts as separate attachments or one combined PDF.</t>
  </si>
  <si>
    <t>- Airfare: the original travel confirmation email is fine to attach as-is.</t>
  </si>
  <si>
    <t>- Meals/taxi: clear photo or scan, amount and date legible.</t>
  </si>
  <si>
    <t>- Uber/rideshare: forward the receipt email.</t>
  </si>
  <si>
    <t>- Mileage: PDF of the Google Maps route as proof.</t>
  </si>
  <si>
    <t>- Never forward the travel/ER email itself as the submission - always a fresh email.</t>
  </si>
  <si>
    <t>- Never put receipts inside the Excel file.</t>
  </si>
  <si>
    <t>- Never send receipts as Word docs - print to PDF first if needed.</t>
  </si>
  <si>
    <t>- Missing a receipt: a bank/card statement screenshot is acceptable.</t>
  </si>
  <si>
    <t>This workbook uses the same column order as Unifocus's own blank ER form (Date, Day, Amount, Exchange Rate,</t>
  </si>
  <si>
    <t>Amt in USD, Paid by, Details, Category, Billable/UF, Charge Code) so rows can be cut and pasted directly</t>
  </si>
  <si>
    <t>into the official template once it's opened.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</si>
</sst>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3" borderId="0" xfId="0" applyNumberFormat="1" applyFill="1"/>
    <xf numFmtId="0" fontId="0" fillId="4" borderId="0" xfId="0" applyFill="1"/>
    <xf numFmtId="0" fontId="3" fillId="5" borderId="1" xfId="0" applyFont="1" applyFill="1" applyBorder="1" applyAlignment="1">
      <alignment horizontal="center" wrapText="1"/>
    </xf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49" fontId="0" fillId="4" borderId="1" xfId="0" applyNumberFormat="1" applyFill="1" applyBorder="1"/>
    <xf numFmtId="164" fontId="0" fillId="6" borderId="1" xfId="0" applyNumberFormat="1" applyFill="1" applyBorder="1"/>
    <xf numFmtId="49" fontId="0" fillId="6" borderId="1" xfId="0" applyNumberFormat="1" applyFill="1" applyBorder="1"/>
    <xf numFmtId="0" fontId="0" fillId="2" borderId="1" xfId="0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3BFB-0CED-49B1-8ED1-951BFA4737B0}">
  <sheetPr>
    <tabColor rgb="FFB6752E"/>
  </sheetPr>
  <dimension ref="A1:J26"/>
  <sheetViews>
    <sheetView tabSelected="1" workbookViewId="0">
      <pane ySplit="4" topLeftCell="A5" activePane="bottomLeft" state="frozen"/>
      <selection pane="bottomLeft" activeCell="A5" sqref="A5:XFD5"/>
    </sheetView>
  </sheetViews>
  <sheetFormatPr defaultRowHeight="14.5" x14ac:dyDescent="0.35"/>
  <cols>
    <col min="1" max="1" width="10.6328125" customWidth="1"/>
    <col min="2" max="2" width="6.6328125" customWidth="1"/>
    <col min="3" max="3" width="10.6328125" customWidth="1"/>
    <col min="4" max="4" width="9.6328125" customWidth="1"/>
    <col min="5" max="5" width="11.6328125" customWidth="1"/>
    <col min="6" max="6" width="10.6328125" customWidth="1"/>
    <col min="7" max="7" width="48.6328125" customWidth="1"/>
    <col min="8" max="8" width="12.6328125" customWidth="1"/>
    <col min="9" max="9" width="30.6328125" customWidth="1"/>
    <col min="10" max="10" width="10.6328125" customWidth="1"/>
  </cols>
  <sheetData>
    <row r="1" spans="1:10" ht="22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3" t="s">
        <v>1</v>
      </c>
      <c r="B2" s="4">
        <v>46209</v>
      </c>
      <c r="D2" s="3" t="s">
        <v>2</v>
      </c>
      <c r="E2" s="4">
        <v>46212</v>
      </c>
      <c r="G2" s="3" t="s">
        <v>3</v>
      </c>
      <c r="H2" s="5" t="s">
        <v>4</v>
      </c>
    </row>
    <row r="4" spans="1:10" ht="28" customHeight="1" x14ac:dyDescent="0.3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</row>
    <row r="5" spans="1:10" x14ac:dyDescent="0.35">
      <c r="A5" s="7">
        <v>46209</v>
      </c>
      <c r="B5" s="8" t="str">
        <f>TEXT(A5,"ddd")</f>
        <v>Mon</v>
      </c>
      <c r="C5" s="9">
        <v>545.19000000000005</v>
      </c>
      <c r="D5" s="10">
        <v>1</v>
      </c>
      <c r="E5" s="9">
        <f>C5*D5</f>
        <v>545.19000000000005</v>
      </c>
      <c r="F5" s="8" t="s">
        <v>15</v>
      </c>
      <c r="G5" s="11" t="s">
        <v>16</v>
      </c>
      <c r="H5" s="8" t="s">
        <v>17</v>
      </c>
      <c r="I5" s="11" t="s">
        <v>18</v>
      </c>
      <c r="J5" s="12" t="s">
        <v>19</v>
      </c>
    </row>
    <row r="6" spans="1:10" x14ac:dyDescent="0.35">
      <c r="A6" s="13">
        <v>46209</v>
      </c>
      <c r="B6" s="14" t="str">
        <f>TEXT(A6,"ddd")</f>
        <v>Mon</v>
      </c>
      <c r="C6" s="15">
        <v>316.2</v>
      </c>
      <c r="D6" s="16">
        <v>1</v>
      </c>
      <c r="E6" s="15">
        <f>C6*D6</f>
        <v>316.2</v>
      </c>
      <c r="F6" s="14" t="s">
        <v>15</v>
      </c>
      <c r="G6" s="17" t="s">
        <v>20</v>
      </c>
      <c r="H6" s="14" t="s">
        <v>17</v>
      </c>
      <c r="I6" s="17" t="s">
        <v>18</v>
      </c>
      <c r="J6" s="18" t="s">
        <v>19</v>
      </c>
    </row>
    <row r="7" spans="1:10" x14ac:dyDescent="0.35">
      <c r="A7" s="7">
        <v>46209</v>
      </c>
      <c r="B7" s="8" t="str">
        <f>TEXT(A7,"ddd")</f>
        <v>Mon</v>
      </c>
      <c r="C7" s="9">
        <v>31.08</v>
      </c>
      <c r="D7" s="10">
        <v>1</v>
      </c>
      <c r="E7" s="9">
        <f>C7*D7</f>
        <v>31.08</v>
      </c>
      <c r="F7" s="8" t="s">
        <v>15</v>
      </c>
      <c r="G7" s="11" t="s">
        <v>21</v>
      </c>
      <c r="H7" s="8" t="s">
        <v>22</v>
      </c>
      <c r="I7" s="11" t="s">
        <v>18</v>
      </c>
      <c r="J7" s="12" t="s">
        <v>19</v>
      </c>
    </row>
    <row r="8" spans="1:10" x14ac:dyDescent="0.35">
      <c r="A8" s="13">
        <v>46209</v>
      </c>
      <c r="B8" s="14" t="str">
        <f>TEXT(A8,"ddd")</f>
        <v>Mon</v>
      </c>
      <c r="C8" s="15">
        <v>44.34</v>
      </c>
      <c r="D8" s="16">
        <v>1</v>
      </c>
      <c r="E8" s="15">
        <f>C8*D8</f>
        <v>44.34</v>
      </c>
      <c r="F8" s="14" t="s">
        <v>15</v>
      </c>
      <c r="G8" s="17" t="s">
        <v>23</v>
      </c>
      <c r="H8" s="14" t="s">
        <v>24</v>
      </c>
      <c r="I8" s="17" t="s">
        <v>18</v>
      </c>
      <c r="J8" s="18" t="s">
        <v>19</v>
      </c>
    </row>
    <row r="9" spans="1:10" x14ac:dyDescent="0.35">
      <c r="A9" s="7">
        <v>46212</v>
      </c>
      <c r="B9" s="8" t="str">
        <f>TEXT(A9,"ddd")</f>
        <v>Thu</v>
      </c>
      <c r="C9" s="9">
        <v>105.01</v>
      </c>
      <c r="D9" s="10">
        <v>1</v>
      </c>
      <c r="E9" s="9">
        <f>C9*D9</f>
        <v>105.01</v>
      </c>
      <c r="F9" s="8" t="s">
        <v>15</v>
      </c>
      <c r="G9" s="11" t="s">
        <v>25</v>
      </c>
      <c r="H9" s="8" t="s">
        <v>17</v>
      </c>
      <c r="I9" s="11" t="s">
        <v>18</v>
      </c>
      <c r="J9" s="12" t="s">
        <v>19</v>
      </c>
    </row>
    <row r="10" spans="1:10" x14ac:dyDescent="0.35">
      <c r="A10" s="13">
        <v>46212</v>
      </c>
      <c r="B10" s="14" t="str">
        <f>TEXT(A10,"ddd")</f>
        <v>Thu</v>
      </c>
      <c r="C10" s="15">
        <v>20.12</v>
      </c>
      <c r="D10" s="16">
        <v>1</v>
      </c>
      <c r="E10" s="15">
        <f>C10*D10</f>
        <v>20.12</v>
      </c>
      <c r="F10" s="14" t="s">
        <v>15</v>
      </c>
      <c r="G10" s="17" t="s">
        <v>26</v>
      </c>
      <c r="H10" s="14" t="s">
        <v>22</v>
      </c>
      <c r="I10" s="17" t="s">
        <v>18</v>
      </c>
      <c r="J10" s="18" t="s">
        <v>19</v>
      </c>
    </row>
    <row r="11" spans="1:10" x14ac:dyDescent="0.35">
      <c r="A11" s="7">
        <v>46212</v>
      </c>
      <c r="B11" s="8" t="str">
        <f>TEXT(A11,"ddd")</f>
        <v>Thu</v>
      </c>
      <c r="C11" s="9">
        <v>25.61</v>
      </c>
      <c r="D11" s="10">
        <v>1</v>
      </c>
      <c r="E11" s="9">
        <f>C11*D11</f>
        <v>25.61</v>
      </c>
      <c r="F11" s="8" t="s">
        <v>15</v>
      </c>
      <c r="G11" s="11" t="s">
        <v>27</v>
      </c>
      <c r="H11" s="8" t="s">
        <v>28</v>
      </c>
      <c r="I11" s="11" t="s">
        <v>18</v>
      </c>
      <c r="J11" s="12" t="s">
        <v>19</v>
      </c>
    </row>
    <row r="12" spans="1:10" x14ac:dyDescent="0.35">
      <c r="A12" s="13"/>
      <c r="B12" s="14" t="str">
        <f>IF(A12="","",TEXT(A12,"ddd"))</f>
        <v/>
      </c>
      <c r="C12" s="19"/>
      <c r="D12" s="16">
        <v>1</v>
      </c>
      <c r="E12" s="15">
        <f>C12*D12</f>
        <v>0</v>
      </c>
      <c r="F12" s="17"/>
      <c r="G12" s="17"/>
      <c r="H12" s="17"/>
      <c r="I12" s="17"/>
      <c r="J12" s="20"/>
    </row>
    <row r="13" spans="1:10" x14ac:dyDescent="0.35">
      <c r="A13" s="7"/>
      <c r="B13" s="8" t="str">
        <f>IF(A13="","",TEXT(A13,"ddd"))</f>
        <v/>
      </c>
      <c r="C13" s="21"/>
      <c r="D13" s="10">
        <v>1</v>
      </c>
      <c r="E13" s="9">
        <f>C13*D13</f>
        <v>0</v>
      </c>
      <c r="F13" s="11"/>
      <c r="G13" s="11"/>
      <c r="H13" s="11"/>
      <c r="I13" s="11"/>
      <c r="J13" s="22"/>
    </row>
    <row r="14" spans="1:10" x14ac:dyDescent="0.35">
      <c r="A14" s="13"/>
      <c r="B14" s="14" t="str">
        <f>IF(A14="","",TEXT(A14,"ddd"))</f>
        <v/>
      </c>
      <c r="C14" s="19"/>
      <c r="D14" s="16">
        <v>1</v>
      </c>
      <c r="E14" s="15">
        <f>C14*D14</f>
        <v>0</v>
      </c>
      <c r="F14" s="17"/>
      <c r="G14" s="17"/>
      <c r="H14" s="17"/>
      <c r="I14" s="17"/>
      <c r="J14" s="20"/>
    </row>
    <row r="15" spans="1:10" x14ac:dyDescent="0.35">
      <c r="A15" s="7"/>
      <c r="B15" s="8" t="str">
        <f>IF(A15="","",TEXT(A15,"ddd"))</f>
        <v/>
      </c>
      <c r="C15" s="21"/>
      <c r="D15" s="10">
        <v>1</v>
      </c>
      <c r="E15" s="9">
        <f>C15*D15</f>
        <v>0</v>
      </c>
      <c r="F15" s="11"/>
      <c r="G15" s="11"/>
      <c r="H15" s="11"/>
      <c r="I15" s="11"/>
      <c r="J15" s="22"/>
    </row>
    <row r="16" spans="1:10" x14ac:dyDescent="0.35">
      <c r="A16" s="13"/>
      <c r="B16" s="14" t="str">
        <f>IF(A16="","",TEXT(A16,"ddd"))</f>
        <v/>
      </c>
      <c r="C16" s="19"/>
      <c r="D16" s="16">
        <v>1</v>
      </c>
      <c r="E16" s="15">
        <f>C16*D16</f>
        <v>0</v>
      </c>
      <c r="F16" s="17"/>
      <c r="G16" s="17"/>
      <c r="H16" s="17"/>
      <c r="I16" s="17"/>
      <c r="J16" s="20"/>
    </row>
    <row r="17" spans="1:10" x14ac:dyDescent="0.35">
      <c r="A17" s="7"/>
      <c r="B17" s="8" t="str">
        <f>IF(A17="","",TEXT(A17,"ddd"))</f>
        <v/>
      </c>
      <c r="C17" s="21"/>
      <c r="D17" s="10">
        <v>1</v>
      </c>
      <c r="E17" s="9">
        <f>C17*D17</f>
        <v>0</v>
      </c>
      <c r="F17" s="11"/>
      <c r="G17" s="11"/>
      <c r="H17" s="11"/>
      <c r="I17" s="11"/>
      <c r="J17" s="22"/>
    </row>
    <row r="18" spans="1:10" x14ac:dyDescent="0.35">
      <c r="A18" s="13"/>
      <c r="B18" s="14" t="str">
        <f>IF(A18="","",TEXT(A18,"ddd"))</f>
        <v/>
      </c>
      <c r="C18" s="19"/>
      <c r="D18" s="16">
        <v>1</v>
      </c>
      <c r="E18" s="15">
        <f>C18*D18</f>
        <v>0</v>
      </c>
      <c r="F18" s="17"/>
      <c r="G18" s="17"/>
      <c r="H18" s="17"/>
      <c r="I18" s="17"/>
      <c r="J18" s="20"/>
    </row>
    <row r="19" spans="1:10" x14ac:dyDescent="0.35">
      <c r="A19" s="7"/>
      <c r="B19" s="8" t="str">
        <f>IF(A19="","",TEXT(A19,"ddd"))</f>
        <v/>
      </c>
      <c r="C19" s="21"/>
      <c r="D19" s="10">
        <v>1</v>
      </c>
      <c r="E19" s="9">
        <f>C19*D19</f>
        <v>0</v>
      </c>
      <c r="F19" s="11"/>
      <c r="G19" s="11"/>
      <c r="H19" s="11"/>
      <c r="I19" s="11"/>
      <c r="J19" s="22"/>
    </row>
    <row r="20" spans="1:10" x14ac:dyDescent="0.35">
      <c r="A20" s="13"/>
      <c r="B20" s="14" t="str">
        <f>IF(A20="","",TEXT(A20,"ddd"))</f>
        <v/>
      </c>
      <c r="C20" s="19"/>
      <c r="D20" s="16">
        <v>1</v>
      </c>
      <c r="E20" s="15">
        <f>C20*D20</f>
        <v>0</v>
      </c>
      <c r="F20" s="17"/>
      <c r="G20" s="17"/>
      <c r="H20" s="17"/>
      <c r="I20" s="17"/>
      <c r="J20" s="20"/>
    </row>
    <row r="21" spans="1:10" x14ac:dyDescent="0.35">
      <c r="A21" s="7"/>
      <c r="B21" s="8" t="str">
        <f>IF(A21="","",TEXT(A21,"ddd"))</f>
        <v/>
      </c>
      <c r="C21" s="21"/>
      <c r="D21" s="10">
        <v>1</v>
      </c>
      <c r="E21" s="9">
        <f>C21*D21</f>
        <v>0</v>
      </c>
      <c r="F21" s="11"/>
      <c r="G21" s="11"/>
      <c r="H21" s="11"/>
      <c r="I21" s="11"/>
      <c r="J21" s="22"/>
    </row>
    <row r="22" spans="1:10" x14ac:dyDescent="0.35">
      <c r="A22" s="13"/>
      <c r="B22" s="14" t="str">
        <f>IF(A22="","",TEXT(A22,"ddd"))</f>
        <v/>
      </c>
      <c r="C22" s="19"/>
      <c r="D22" s="16">
        <v>1</v>
      </c>
      <c r="E22" s="15">
        <f>C22*D22</f>
        <v>0</v>
      </c>
      <c r="F22" s="17"/>
      <c r="G22" s="17"/>
      <c r="H22" s="17"/>
      <c r="I22" s="17"/>
      <c r="J22" s="20"/>
    </row>
    <row r="23" spans="1:10" x14ac:dyDescent="0.35">
      <c r="A23" s="7"/>
      <c r="B23" s="8" t="str">
        <f>IF(A23="","",TEXT(A23,"ddd"))</f>
        <v/>
      </c>
      <c r="C23" s="21"/>
      <c r="D23" s="10">
        <v>1</v>
      </c>
      <c r="E23" s="9">
        <f>C23*D23</f>
        <v>0</v>
      </c>
      <c r="F23" s="11"/>
      <c r="G23" s="11"/>
      <c r="H23" s="11"/>
      <c r="I23" s="11"/>
      <c r="J23" s="22"/>
    </row>
    <row r="24" spans="1:10" x14ac:dyDescent="0.35">
      <c r="A24" s="13"/>
      <c r="B24" s="14" t="str">
        <f>IF(A24="","",TEXT(A24,"ddd"))</f>
        <v/>
      </c>
      <c r="C24" s="19"/>
      <c r="D24" s="16">
        <v>1</v>
      </c>
      <c r="E24" s="15">
        <f>C24*D24</f>
        <v>0</v>
      </c>
      <c r="F24" s="17"/>
      <c r="G24" s="17"/>
      <c r="H24" s="17"/>
      <c r="I24" s="17"/>
      <c r="J24" s="20"/>
    </row>
    <row r="25" spans="1:10" x14ac:dyDescent="0.35">
      <c r="A25" s="7"/>
      <c r="B25" s="8" t="str">
        <f>IF(A25="","",TEXT(A25,"ddd"))</f>
        <v/>
      </c>
      <c r="C25" s="21"/>
      <c r="D25" s="10">
        <v>1</v>
      </c>
      <c r="E25" s="9">
        <f>C25*D25</f>
        <v>0</v>
      </c>
      <c r="F25" s="11"/>
      <c r="G25" s="11"/>
      <c r="H25" s="11"/>
      <c r="I25" s="11"/>
      <c r="J25" s="22"/>
    </row>
    <row r="26" spans="1:10" x14ac:dyDescent="0.35">
      <c r="A26" s="23"/>
      <c r="B26" s="23"/>
      <c r="C26" s="23"/>
      <c r="D26" s="24" t="s">
        <v>29</v>
      </c>
      <c r="E26" s="25">
        <f>SUM(E5:E25)</f>
        <v>1087.55</v>
      </c>
      <c r="F26" s="23"/>
      <c r="G26" s="23"/>
      <c r="H26" s="23"/>
      <c r="I26" s="23"/>
      <c r="J26" s="23"/>
    </row>
  </sheetData>
  <mergeCells count="1">
    <mergeCell ref="A1:J1"/>
  </mergeCells>
  <dataValidations count="2">
    <dataValidation type="list" allowBlank="1" showInputMessage="1" showErrorMessage="1" sqref="F5:F25" xr:uid="{396E95A5-03E4-4AD5-8568-8F67AE50E540}">
      <formula1>"UF,PERSONAL,OTHER"</formula1>
    </dataValidation>
    <dataValidation type="list" allowBlank="1" showInputMessage="1" showErrorMessage="1" sqref="H5:H25" xr:uid="{7957B837-EF51-4766-8890-18157FB106E9}">
      <formula1>"Air Fare,Taxi/Train/Bus,Car Rental,Gas/Tolls,Parking,Hotel,Bkfst,Lunch,Dinner,Phone/Data,Computer,Other,Postage,Misc"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0FB1-1F14-4920-9536-9B3CC3207A36}">
  <sheetPr>
    <tabColor rgb="FFF0E4D6"/>
  </sheetPr>
  <dimension ref="A1:A24"/>
  <sheetViews>
    <sheetView workbookViewId="0"/>
  </sheetViews>
  <sheetFormatPr defaultRowHeight="14.5" x14ac:dyDescent="0.35"/>
  <cols>
    <col min="1" max="1" width="100.6328125" customWidth="1"/>
  </cols>
  <sheetData>
    <row r="1" spans="1:1" x14ac:dyDescent="0.35">
      <c r="A1" s="3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  <row r="6" spans="1:1" x14ac:dyDescent="0.35">
      <c r="A6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1" spans="1:1" x14ac:dyDescent="0.35">
      <c r="A11" t="s">
        <v>38</v>
      </c>
    </row>
    <row r="12" spans="1:1" x14ac:dyDescent="0.35">
      <c r="A12" t="s">
        <v>39</v>
      </c>
    </row>
    <row r="13" spans="1:1" x14ac:dyDescent="0.35">
      <c r="A13" t="s">
        <v>40</v>
      </c>
    </row>
    <row r="14" spans="1:1" x14ac:dyDescent="0.35">
      <c r="A14" t="s">
        <v>41</v>
      </c>
    </row>
    <row r="15" spans="1:1" x14ac:dyDescent="0.35">
      <c r="A15" t="s">
        <v>42</v>
      </c>
    </row>
    <row r="16" spans="1:1" x14ac:dyDescent="0.35">
      <c r="A16" t="s">
        <v>43</v>
      </c>
    </row>
    <row r="17" spans="1:1" x14ac:dyDescent="0.35">
      <c r="A17" t="s">
        <v>44</v>
      </c>
    </row>
    <row r="18" spans="1:1" x14ac:dyDescent="0.35">
      <c r="A18" t="s">
        <v>45</v>
      </c>
    </row>
    <row r="19" spans="1:1" x14ac:dyDescent="0.35">
      <c r="A19" t="s">
        <v>46</v>
      </c>
    </row>
    <row r="20" spans="1:1" x14ac:dyDescent="0.35">
      <c r="A20" t="s">
        <v>47</v>
      </c>
    </row>
    <row r="22" spans="1:1" x14ac:dyDescent="0.35">
      <c r="A22" t="s">
        <v>48</v>
      </c>
    </row>
    <row r="23" spans="1:1" x14ac:dyDescent="0.35">
      <c r="A23" t="s">
        <v>49</v>
      </c>
    </row>
    <row r="24" spans="1:1" x14ac:dyDescent="0.35">
      <c r="A2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 Detail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2026-07-10T17:13:32Z</dcterms:created>
  <dcterms:modified xsi:type="dcterms:W3CDTF">2026-07-10T17:13:35Z</dcterms:modified>
</cp:coreProperties>
</file>