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0B26F4BB-075A-495D-8099-04520BC40BAD}" xr6:coauthVersionLast="47" xr6:coauthVersionMax="47" xr10:uidLastSave="{00000000-0000-0000-0000-000000000000}"/>
  <bookViews>
    <workbookView xWindow="35880" yWindow="2190" windowWidth="29040" windowHeight="17520" xr2:uid="{BDF1D293-00A6-47DF-A729-E60B3B82F4CB}"/>
  </bookViews>
  <sheets>
    <sheet name="ER Detail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B20" i="1"/>
  <c r="E20" i="1"/>
  <c r="B19" i="1"/>
  <c r="E19" i="1"/>
  <c r="B18" i="1"/>
  <c r="E18" i="1"/>
  <c r="B17" i="1"/>
  <c r="E17" i="1"/>
  <c r="B16" i="1"/>
  <c r="E16" i="1"/>
  <c r="B15" i="1"/>
  <c r="E15" i="1"/>
  <c r="B14" i="1"/>
  <c r="E14" i="1"/>
  <c r="B13" i="1"/>
  <c r="E13" i="1"/>
  <c r="B12" i="1"/>
  <c r="E12" i="1"/>
  <c r="B11" i="1"/>
  <c r="E11" i="1"/>
  <c r="B10" i="1"/>
  <c r="E10" i="1"/>
  <c r="B9" i="1"/>
  <c r="E9" i="1"/>
  <c r="B8" i="1"/>
  <c r="E8" i="1"/>
  <c r="B7" i="1"/>
  <c r="E7" i="1"/>
  <c r="E6" i="1"/>
  <c r="B6" i="1"/>
  <c r="E5" i="1"/>
  <c r="B5" i="1"/>
</calcChain>
</file>

<file path=xl/sharedStrings.xml><?xml version="1.0" encoding="utf-8"?>
<sst xmlns="http://schemas.openxmlformats.org/spreadsheetml/2006/main" count="47" uniqueCount="43">
  <si>
    <t>UNIFOCUS EXPENSE REPORT  |  New Orleans - InterContinental (HM Alpha)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</si>
  <si>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</si>
  <si>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</si>
  <si>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</si>
  <si>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</si>
  <si>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</si>
  <si>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</si>
  <si>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</si>
  <si>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</si>
  <si>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</si>
  <si>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</si>
  <si>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</si>
  <si>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</si>
  <si>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</si>
  <si>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</si>
  <si>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</si>
  <si>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SW OMA-DAL-MSY (CVMCLW) - card charge portion, Visa -2674</t>
  </si>
  <si>
    <t>Air Fare</t>
  </si>
  <si>
    <t>HM Alpha - InterContinental New Orleans</t>
  </si>
  <si>
    <t/>
  </si>
  <si>
    <t>SW OMA-DAL-MSY (CVMCLW) - SW travel credit applied</t>
  </si>
  <si>
    <t>TOTAL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</si>
  <si>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</si>
  <si>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</si>
  <si>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</si>
  <si>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</si>
  <si>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(e.g. this report's HM Alpha - InterContinental New Orleans),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</si>
  <si>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</si>
  <si>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</si>
  <si>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</si>
  <si>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 (to Ralph Varble, confirmed 7/5/26):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</si>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</sst>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6" borderId="1" xfId="0" applyNumberFormat="1" applyFill="1" applyBorder="1"/>
    <xf numFmtId="49" fontId="0" fillId="6" borderId="1" xfId="0" applyNumberFormat="1" applyFill="1" applyBorder="1"/>
    <xf numFmtId="164" fontId="0" fillId="4" borderId="1" xfId="0" applyNumberFormat="1" applyFill="1" applyBorder="1"/>
    <xf numFmtId="49" fontId="0" fillId="4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FB93-BC25-4CED-B8CD-CD389FA6A731}">
  <sheetPr>
    <tabColor rgb="FFB6752E"/>
  </sheetPr>
  <dimension ref="A1:J21"/>
  <sheetViews>
    <sheetView tabSelected="1" workbookViewId="0">
      <pane ySplit="4" topLeftCell="A5" activePane="bottomLeft" state="frozen"/>
      <selection pane="bottomLeft" activeCell="A5" sqref="A5:XFD5"/>
    </sheetView>
  </sheetViews>
  <sheetFormatPr defaultRowHeight="14.5" x14ac:dyDescent="0.35"/>
  <cols>
    <col min="1" max="1" width="10.6328125" customWidth="1"/>
    <col min="2" max="2" width="6.6328125" customWidth="1"/>
    <col min="3" max="3" width="10.6328125" customWidth="1"/>
    <col min="4" max="4" width="9.6328125" customWidth="1"/>
    <col min="5" max="5" width="11.6328125" customWidth="1"/>
    <col min="6" max="6" width="10.6328125" customWidth="1"/>
    <col min="7" max="7" width="48.6328125" customWidth="1"/>
    <col min="8" max="8" width="12.6328125" customWidth="1"/>
    <col min="9" max="9" width="30.6328125" customWidth="1"/>
    <col min="10" max="10" width="10.6328125" customWidth="1"/>
  </cols>
  <sheetData>
    <row r="1" spans="1:10" ht="22" customHeight="1" x14ac:dyDescent="0.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5">
      <c r="A2" s="3" t="s">
        <v>1</v>
      </c>
      <c r="B2" s="4">
        <v>46209</v>
      </c>
      <c r="D2" s="3" t="s">
        <v>2</v>
      </c>
      <c r="E2" s="4">
        <v>46212</v>
      </c>
      <c r="G2" s="3" t="s">
        <v>3</v>
      </c>
      <c r="H2" s="5" t="s">
        <v>4</v>
      </c>
    </row>
    <row r="4" spans="1:10" ht="28" customHeight="1" x14ac:dyDescent="0.35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</row>
    <row r="5" spans="1:10" x14ac:dyDescent="0.35">
      <c r="A5" s="7">
        <v>46209</v>
      </c>
      <c r="B5" s="8" t="str">
        <f>TEXT(A5,"ddd")</f>
        <v>Mon</v>
      </c>
      <c r="C5" s="9">
        <v>545.19000000000005</v>
      </c>
      <c r="D5" s="10">
        <v>1</v>
      </c>
      <c r="E5" s="9">
        <f>C5*D5</f>
        <v>545.19000000000005</v>
      </c>
      <c r="F5" s="8" t="s">
        <v>15</v>
      </c>
      <c r="G5" s="11" t="s">
        <v>16</v>
      </c>
      <c r="H5" s="8" t="s">
        <v>17</v>
      </c>
      <c r="I5" s="11" t="s">
        <v>18</v>
      </c>
      <c r="J5" s="12" t="s">
        <v>19</v>
      </c>
    </row>
    <row r="6" spans="1:10" x14ac:dyDescent="0.35">
      <c r="A6" s="13">
        <v>46209</v>
      </c>
      <c r="B6" s="14" t="str">
        <f>TEXT(A6,"ddd")</f>
        <v>Mon</v>
      </c>
      <c r="C6" s="15">
        <v>316.2</v>
      </c>
      <c r="D6" s="16">
        <v>1</v>
      </c>
      <c r="E6" s="15">
        <f>C6*D6</f>
        <v>316.2</v>
      </c>
      <c r="F6" s="14" t="s">
        <v>15</v>
      </c>
      <c r="G6" s="17" t="s">
        <v>20</v>
      </c>
      <c r="H6" s="14" t="s">
        <v>17</v>
      </c>
      <c r="I6" s="17" t="s">
        <v>18</v>
      </c>
      <c r="J6" s="18" t="s">
        <v>19</v>
      </c>
    </row>
    <row r="7" spans="1:10" x14ac:dyDescent="0.35">
      <c r="A7" s="7"/>
      <c r="B7" s="8" t="str">
        <f>IF(A7="","",TEXT(A7,"ddd"))</f>
        <v/>
      </c>
      <c r="C7" s="19"/>
      <c r="D7" s="10">
        <v>1</v>
      </c>
      <c r="E7" s="9">
        <f>C7*D7</f>
        <v>0</v>
      </c>
      <c r="F7" s="11"/>
      <c r="G7" s="11"/>
      <c r="H7" s="11"/>
      <c r="I7" s="11"/>
      <c r="J7" s="20"/>
    </row>
    <row r="8" spans="1:10" x14ac:dyDescent="0.35">
      <c r="A8" s="13"/>
      <c r="B8" s="14" t="str">
        <f>IF(A8="","",TEXT(A8,"ddd"))</f>
        <v/>
      </c>
      <c r="C8" s="21"/>
      <c r="D8" s="16">
        <v>1</v>
      </c>
      <c r="E8" s="15">
        <f>C8*D8</f>
        <v>0</v>
      </c>
      <c r="F8" s="17"/>
      <c r="G8" s="17"/>
      <c r="H8" s="17"/>
      <c r="I8" s="17"/>
      <c r="J8" s="22"/>
    </row>
    <row r="9" spans="1:10" x14ac:dyDescent="0.35">
      <c r="A9" s="7"/>
      <c r="B9" s="8" t="str">
        <f>IF(A9="","",TEXT(A9,"ddd"))</f>
        <v/>
      </c>
      <c r="C9" s="19"/>
      <c r="D9" s="10">
        <v>1</v>
      </c>
      <c r="E9" s="9">
        <f>C9*D9</f>
        <v>0</v>
      </c>
      <c r="F9" s="11"/>
      <c r="G9" s="11"/>
      <c r="H9" s="11"/>
      <c r="I9" s="11"/>
      <c r="J9" s="20"/>
    </row>
    <row r="10" spans="1:10" x14ac:dyDescent="0.35">
      <c r="A10" s="13"/>
      <c r="B10" s="14" t="str">
        <f>IF(A10="","",TEXT(A10,"ddd"))</f>
        <v/>
      </c>
      <c r="C10" s="21"/>
      <c r="D10" s="16">
        <v>1</v>
      </c>
      <c r="E10" s="15">
        <f>C10*D10</f>
        <v>0</v>
      </c>
      <c r="F10" s="17"/>
      <c r="G10" s="17"/>
      <c r="H10" s="17"/>
      <c r="I10" s="17"/>
      <c r="J10" s="22"/>
    </row>
    <row r="11" spans="1:10" x14ac:dyDescent="0.35">
      <c r="A11" s="7"/>
      <c r="B11" s="8" t="str">
        <f>IF(A11="","",TEXT(A11,"ddd"))</f>
        <v/>
      </c>
      <c r="C11" s="19"/>
      <c r="D11" s="10">
        <v>1</v>
      </c>
      <c r="E11" s="9">
        <f>C11*D11</f>
        <v>0</v>
      </c>
      <c r="F11" s="11"/>
      <c r="G11" s="11"/>
      <c r="H11" s="11"/>
      <c r="I11" s="11"/>
      <c r="J11" s="20"/>
    </row>
    <row r="12" spans="1:10" x14ac:dyDescent="0.35">
      <c r="A12" s="13"/>
      <c r="B12" s="14" t="str">
        <f>IF(A12="","",TEXT(A12,"ddd"))</f>
        <v/>
      </c>
      <c r="C12" s="21"/>
      <c r="D12" s="16">
        <v>1</v>
      </c>
      <c r="E12" s="15">
        <f>C12*D12</f>
        <v>0</v>
      </c>
      <c r="F12" s="17"/>
      <c r="G12" s="17"/>
      <c r="H12" s="17"/>
      <c r="I12" s="17"/>
      <c r="J12" s="22"/>
    </row>
    <row r="13" spans="1:10" x14ac:dyDescent="0.35">
      <c r="A13" s="7"/>
      <c r="B13" s="8" t="str">
        <f>IF(A13="","",TEXT(A13,"ddd"))</f>
        <v/>
      </c>
      <c r="C13" s="19"/>
      <c r="D13" s="10">
        <v>1</v>
      </c>
      <c r="E13" s="9">
        <f>C13*D13</f>
        <v>0</v>
      </c>
      <c r="F13" s="11"/>
      <c r="G13" s="11"/>
      <c r="H13" s="11"/>
      <c r="I13" s="11"/>
      <c r="J13" s="20"/>
    </row>
    <row r="14" spans="1:10" x14ac:dyDescent="0.35">
      <c r="A14" s="13"/>
      <c r="B14" s="14" t="str">
        <f>IF(A14="","",TEXT(A14,"ddd"))</f>
        <v/>
      </c>
      <c r="C14" s="21"/>
      <c r="D14" s="16">
        <v>1</v>
      </c>
      <c r="E14" s="15">
        <f>C14*D14</f>
        <v>0</v>
      </c>
      <c r="F14" s="17"/>
      <c r="G14" s="17"/>
      <c r="H14" s="17"/>
      <c r="I14" s="17"/>
      <c r="J14" s="22"/>
    </row>
    <row r="15" spans="1:10" x14ac:dyDescent="0.35">
      <c r="A15" s="7"/>
      <c r="B15" s="8" t="str">
        <f>IF(A15="","",TEXT(A15,"ddd"))</f>
        <v/>
      </c>
      <c r="C15" s="19"/>
      <c r="D15" s="10">
        <v>1</v>
      </c>
      <c r="E15" s="9">
        <f>C15*D15</f>
        <v>0</v>
      </c>
      <c r="F15" s="11"/>
      <c r="G15" s="11"/>
      <c r="H15" s="11"/>
      <c r="I15" s="11"/>
      <c r="J15" s="20"/>
    </row>
    <row r="16" spans="1:10" x14ac:dyDescent="0.35">
      <c r="A16" s="13"/>
      <c r="B16" s="14" t="str">
        <f>IF(A16="","",TEXT(A16,"ddd"))</f>
        <v/>
      </c>
      <c r="C16" s="21"/>
      <c r="D16" s="16">
        <v>1</v>
      </c>
      <c r="E16" s="15">
        <f>C16*D16</f>
        <v>0</v>
      </c>
      <c r="F16" s="17"/>
      <c r="G16" s="17"/>
      <c r="H16" s="17"/>
      <c r="I16" s="17"/>
      <c r="J16" s="22"/>
    </row>
    <row r="17" spans="1:10" x14ac:dyDescent="0.35">
      <c r="A17" s="7"/>
      <c r="B17" s="8" t="str">
        <f>IF(A17="","",TEXT(A17,"ddd"))</f>
        <v/>
      </c>
      <c r="C17" s="19"/>
      <c r="D17" s="10">
        <v>1</v>
      </c>
      <c r="E17" s="9">
        <f>C17*D17</f>
        <v>0</v>
      </c>
      <c r="F17" s="11"/>
      <c r="G17" s="11"/>
      <c r="H17" s="11"/>
      <c r="I17" s="11"/>
      <c r="J17" s="20"/>
    </row>
    <row r="18" spans="1:10" x14ac:dyDescent="0.35">
      <c r="A18" s="13"/>
      <c r="B18" s="14" t="str">
        <f>IF(A18="","",TEXT(A18,"ddd"))</f>
        <v/>
      </c>
      <c r="C18" s="21"/>
      <c r="D18" s="16">
        <v>1</v>
      </c>
      <c r="E18" s="15">
        <f>C18*D18</f>
        <v>0</v>
      </c>
      <c r="F18" s="17"/>
      <c r="G18" s="17"/>
      <c r="H18" s="17"/>
      <c r="I18" s="17"/>
      <c r="J18" s="22"/>
    </row>
    <row r="19" spans="1:10" x14ac:dyDescent="0.35">
      <c r="A19" s="7"/>
      <c r="B19" s="8" t="str">
        <f>IF(A19="","",TEXT(A19,"ddd"))</f>
        <v/>
      </c>
      <c r="C19" s="19"/>
      <c r="D19" s="10">
        <v>1</v>
      </c>
      <c r="E19" s="9">
        <f>C19*D19</f>
        <v>0</v>
      </c>
      <c r="F19" s="11"/>
      <c r="G19" s="11"/>
      <c r="H19" s="11"/>
      <c r="I19" s="11"/>
      <c r="J19" s="20"/>
    </row>
    <row r="20" spans="1:10" x14ac:dyDescent="0.35">
      <c r="A20" s="13"/>
      <c r="B20" s="14" t="str">
        <f>IF(A20="","",TEXT(A20,"ddd"))</f>
        <v/>
      </c>
      <c r="C20" s="21"/>
      <c r="D20" s="16">
        <v>1</v>
      </c>
      <c r="E20" s="15">
        <f>C20*D20</f>
        <v>0</v>
      </c>
      <c r="F20" s="17"/>
      <c r="G20" s="17"/>
      <c r="H20" s="17"/>
      <c r="I20" s="17"/>
      <c r="J20" s="22"/>
    </row>
    <row r="21" spans="1:10" x14ac:dyDescent="0.35">
      <c r="A21" s="23"/>
      <c r="B21" s="23"/>
      <c r="C21" s="23"/>
      <c r="D21" s="24" t="s">
        <v>21</v>
      </c>
      <c r="E21" s="25">
        <f>SUM(E5:E20)</f>
        <v>861.3900000000001</v>
      </c>
      <c r="F21" s="23"/>
      <c r="G21" s="23"/>
      <c r="H21" s="23"/>
      <c r="I21" s="23"/>
      <c r="J21" s="23"/>
    </row>
  </sheetData>
  <mergeCells count="1">
    <mergeCell ref="A1:J1"/>
  </mergeCells>
  <dataValidations count="2">
    <dataValidation type="list" allowBlank="1" showInputMessage="1" showErrorMessage="1" sqref="F5:F20" xr:uid="{2C944181-E45B-4CC1-9968-F0DF99C8C64A}">
      <formula1>"UF,PERSONAL,OTHER"</formula1>
    </dataValidation>
    <dataValidation type="list" allowBlank="1" showInputMessage="1" showErrorMessage="1" sqref="H5:H20" xr:uid="{5A6C04F6-C6E3-4E26-8C34-95A9F129A7E6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12799-134C-4E20-B6DB-9BDA421E472F}">
  <sheetPr>
    <tabColor rgb="FFF0E4D6"/>
  </sheetPr>
  <dimension ref="A1:A24"/>
  <sheetViews>
    <sheetView workbookViewId="0"/>
  </sheetViews>
  <sheetFormatPr defaultRowHeight="14.5" x14ac:dyDescent="0.35"/>
  <cols>
    <col min="1" max="1" width="100.6328125" customWidth="1"/>
  </cols>
  <sheetData>
    <row r="1" spans="1:1" x14ac:dyDescent="0.35">
      <c r="A1" s="3" t="s">
        <v>22</v>
      </c>
    </row>
    <row r="3" spans="1:1" x14ac:dyDescent="0.35">
      <c r="A3" t="s">
        <v>23</v>
      </c>
    </row>
    <row r="4" spans="1:1" x14ac:dyDescent="0.35">
      <c r="A4" t="s">
        <v>24</v>
      </c>
    </row>
    <row r="5" spans="1:1" x14ac:dyDescent="0.35">
      <c r="A5" t="s">
        <v>25</v>
      </c>
    </row>
    <row r="6" spans="1:1" x14ac:dyDescent="0.35">
      <c r="A6" t="s">
        <v>26</v>
      </c>
    </row>
    <row r="7" spans="1:1" x14ac:dyDescent="0.35">
      <c r="A7" t="s">
        <v>27</v>
      </c>
    </row>
    <row r="8" spans="1:1" x14ac:dyDescent="0.35">
      <c r="A8" t="s">
        <v>28</v>
      </c>
    </row>
    <row r="9" spans="1:1" x14ac:dyDescent="0.35">
      <c r="A9" t="s">
        <v>29</v>
      </c>
    </row>
    <row r="11" spans="1:1" x14ac:dyDescent="0.35">
      <c r="A11" t="s">
        <v>30</v>
      </c>
    </row>
    <row r="12" spans="1:1" x14ac:dyDescent="0.35">
      <c r="A12" t="s">
        <v>31</v>
      </c>
    </row>
    <row r="13" spans="1:1" x14ac:dyDescent="0.35">
      <c r="A13" t="s">
        <v>32</v>
      </c>
    </row>
    <row r="14" spans="1:1" x14ac:dyDescent="0.35">
      <c r="A14" t="s">
        <v>33</v>
      </c>
    </row>
    <row r="15" spans="1:1" x14ac:dyDescent="0.35">
      <c r="A15" t="s">
        <v>34</v>
      </c>
    </row>
    <row r="16" spans="1:1" x14ac:dyDescent="0.35">
      <c r="A16" t="s">
        <v>35</v>
      </c>
    </row>
    <row r="17" spans="1:1" x14ac:dyDescent="0.35">
      <c r="A17" t="s">
        <v>36</v>
      </c>
    </row>
    <row r="18" spans="1:1" x14ac:dyDescent="0.35">
      <c r="A18" t="s">
        <v>37</v>
      </c>
    </row>
    <row r="19" spans="1:1" x14ac:dyDescent="0.35">
      <c r="A19" t="s">
        <v>38</v>
      </c>
    </row>
    <row r="20" spans="1:1" x14ac:dyDescent="0.35">
      <c r="A20" t="s">
        <v>39</v>
      </c>
    </row>
    <row r="22" spans="1:1" x14ac:dyDescent="0.35">
      <c r="A22" t="s">
        <v>40</v>
      </c>
    </row>
    <row r="23" spans="1:1" x14ac:dyDescent="0.35">
      <c r="A23" t="s">
        <v>41</v>
      </c>
    </row>
    <row r="24" spans="1:1" x14ac:dyDescent="0.35">
      <c r="A24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2026-07-05T18:52:09Z</dcterms:created>
  <dcterms:modified xsi:type="dcterms:W3CDTF">2026-07-05T18:52:11Z</dcterms:modified>
</cp:coreProperties>
</file>