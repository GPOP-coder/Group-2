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er\Documents\Group-2\travel\trips\"/>
    </mc:Choice>
  </mc:AlternateContent>
  <xr:revisionPtr revIDLastSave="0" documentId="8_{6D6B9C86-A6E5-42FC-A790-5B24E5140034}" xr6:coauthVersionLast="47" xr6:coauthVersionMax="47" xr10:uidLastSave="{00000000-0000-0000-0000-000000000000}"/>
  <bookViews>
    <workbookView xWindow="1480" yWindow="1480" windowWidth="18000" windowHeight="11170" xr2:uid="{6F4A20DC-65A8-4C9E-A504-718C58D09FE3}"/>
  </bookViews>
  <sheets>
    <sheet name="Summary" sheetId="2" r:id="rId1"/>
    <sheet name="Expenses" sheetId="1" r:id="rId2"/>
    <sheet name="Exclude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" i="3" l="1"/>
  <c r="E34" i="2"/>
  <c r="E27" i="2"/>
  <c r="D27" i="2"/>
  <c r="C27" i="2"/>
  <c r="B17" i="2"/>
  <c r="D23" i="1"/>
</calcChain>
</file>

<file path=xl/sharedStrings.xml><?xml version="1.0" encoding="utf-8"?>
<sst xmlns="http://schemas.openxmlformats.org/spreadsheetml/2006/main" count="164" uniqueCount="93">
  <si>
    <t>PENSACOLA TRIP - EXPENSE DETAIL  |  May 15 - June 1, 2026</t>
  </si>
  <si>
    <t>Preparer: Pete Castellano     Compiled: June 2, 2026     Purpose: Renovation oversight / Father's POA</t>
  </si>
  <si>
    <t>Date</t>
  </si>
  <si>
    <t>Description</t>
  </si>
  <si>
    <t>Category</t>
  </si>
  <si>
    <t>Amount</t>
  </si>
  <si>
    <t>Card</t>
  </si>
  <si>
    <t>Reimb?</t>
  </si>
  <si>
    <t>SW OMA-STL-MCO (CMIJAL)</t>
  </si>
  <si>
    <t>Air Fare</t>
  </si>
  <si>
    <t>-2674</t>
  </si>
  <si>
    <t>Yes</t>
  </si>
  <si>
    <t>Budget Rental, Orlando FL (5/15 to 5/17)</t>
  </si>
  <si>
    <t>Car Rental</t>
  </si>
  <si>
    <t>-0733</t>
  </si>
  <si>
    <t>Shell, Ocoee FL</t>
  </si>
  <si>
    <t>Gas/Tolls</t>
  </si>
  <si>
    <t>DL MCO-ATL-PNS (H543QZ) - exchange credit [DL-2026-EXCH-001, prior -0733]</t>
  </si>
  <si>
    <t>DL MCO-ATL-PNS (H543QZ) - DL eCredit [DL-2026-001, ESS trip]</t>
  </si>
  <si>
    <t>Cash</t>
  </si>
  <si>
    <t>DL MCO-ATL-PNS (H543QZ) - card balance</t>
  </si>
  <si>
    <t>Delta Excess Baggage (H543QZ)</t>
  </si>
  <si>
    <t>Dollar General #9271, Pensacola FL - utility knife + packing tape</t>
  </si>
  <si>
    <t>Other</t>
  </si>
  <si>
    <t>-7552</t>
  </si>
  <si>
    <t>Perdido Pack &amp; Ship, Pensacola FL</t>
  </si>
  <si>
    <t>Postage</t>
  </si>
  <si>
    <t>Murphy USA, Pensacola FL</t>
  </si>
  <si>
    <t>Perdido Key Resort (5/17 to 5/23), Pensacola FL</t>
  </si>
  <si>
    <t>Hotel</t>
  </si>
  <si>
    <t>Dollar General #18397, Pensacola FL - Sharpie marker</t>
  </si>
  <si>
    <t>-8289</t>
  </si>
  <si>
    <t>Budget Rental, Pensacola FL (5/17 to 6/1)</t>
  </si>
  <si>
    <t>Airbnb/Landing, Pensacola FL (5/23 to 6/1)</t>
  </si>
  <si>
    <t>SW Baggage Fee PNS-OMA (AU84MN)</t>
  </si>
  <si>
    <t>Circle K, Pensacola FL - rental car fuel</t>
  </si>
  <si>
    <t>Omaha Airport - cart rental</t>
  </si>
  <si>
    <t>Misc</t>
  </si>
  <si>
    <t>SW PNS-BNA-STL-OMA (AU84MN) - SW travel credit [SW-2026-001]</t>
  </si>
  <si>
    <t>SW PNS-BNA-STL-OMA (AU84MN) - card balance</t>
  </si>
  <si>
    <t>TOTAL REIMBURSABLE</t>
  </si>
  <si>
    <t>PENSACOLA TRIP EXPENSE REPORT  -  MAY 15 to JUNE 1, 2026</t>
  </si>
  <si>
    <t>Traveler</t>
  </si>
  <si>
    <t>Pete Castellano</t>
  </si>
  <si>
    <t>Purpose</t>
  </si>
  <si>
    <t>Renovation oversight + renter move-in (Father's POA property)</t>
  </si>
  <si>
    <t>Dates</t>
  </si>
  <si>
    <t>May 15 - June 1, 2026 (18 days)</t>
  </si>
  <si>
    <t>Property</t>
  </si>
  <si>
    <t>5577 North Shore Way, Pensacola FL</t>
  </si>
  <si>
    <t>Compiled</t>
  </si>
  <si>
    <t>June 2, 2026</t>
  </si>
  <si>
    <t>SUMMARY BY CATEGORY</t>
  </si>
  <si>
    <t># Items</t>
  </si>
  <si>
    <t>Gas / Tolls</t>
  </si>
  <si>
    <t>SUMMARY BY PAYMENT TYPE</t>
  </si>
  <si>
    <t>Payment Type</t>
  </si>
  <si>
    <t>Reimbursed</t>
  </si>
  <si>
    <t>Excluded</t>
  </si>
  <si>
    <t>Total</t>
  </si>
  <si>
    <t>VISA SW Rapid Rewards+</t>
  </si>
  <si>
    <t>VISA Personal</t>
  </si>
  <si>
    <t>VISA WF Active Cash</t>
  </si>
  <si>
    <t>VISA WF Debit</t>
  </si>
  <si>
    <t>Flight Credits</t>
  </si>
  <si>
    <t>3 credit(s) - see detail below</t>
  </si>
  <si>
    <t>TOTAL</t>
  </si>
  <si>
    <t>CREDITS APPLIED TO FLIGHTS</t>
  </si>
  <si>
    <t>Flight</t>
  </si>
  <si>
    <t>Credit ID</t>
  </si>
  <si>
    <t>Ref #</t>
  </si>
  <si>
    <t>Source</t>
  </si>
  <si>
    <t>Source Card</t>
  </si>
  <si>
    <t>SW PNS-BNA-STL-OMA (AU84MN)</t>
  </si>
  <si>
    <t>SW-2026-001</t>
  </si>
  <si>
    <t/>
  </si>
  <si>
    <t>SW Travel Credits (AEF9KY cancelled 2/12/26); traces to AZXXWK OMA-MIA (cancelled 12/15/25); 40.71 from -2674, remainder prior SW credits</t>
  </si>
  <si>
    <t>Accumulated SW credits</t>
  </si>
  <si>
    <t>DL MCO-ATL-PNS (H543QZ) - eCredit</t>
  </si>
  <si>
    <t>DL-2026-001</t>
  </si>
  <si>
    <t>0060219253395</t>
  </si>
  <si>
    <t>Delta eCredit from ESS OMA-PHL disruption 5/19/25; 700 VOL comp issued to Pete personally from ESS-funded trip</t>
  </si>
  <si>
    <t>No card (ESS trip)</t>
  </si>
  <si>
    <t>DL MCO-ATL-PNS (H543QZ) - exchange</t>
  </si>
  <si>
    <t>DL-2026-EXCH-001</t>
  </si>
  <si>
    <t>Prior DL ticket on -0733 exchanged for H543QZ; original purchase date TBD - check -0733 statement history</t>
  </si>
  <si>
    <t>Total Credits Applied</t>
  </si>
  <si>
    <t>EXCLUDED ITEMS - Personal / Non-Reimbursable</t>
  </si>
  <si>
    <t>Personal items not claimed. All F&amp;B (meals, groceries, alcohol) documented in separate meals reimbursement report.</t>
  </si>
  <si>
    <t>Reason</t>
  </si>
  <si>
    <t>Publix, Pensacola FL - hair gel</t>
  </si>
  <si>
    <t>Personal</t>
  </si>
  <si>
    <t>TOTAL EXCLUDED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</si>
</sst>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64381F"/>
        <bgColor indexed="64"/>
      </patternFill>
    </fill>
    <fill>
      <patternFill patternType="solid">
        <fgColor rgb="FFF0E4D6"/>
        <bgColor indexed="64"/>
      </patternFill>
    </fill>
    <fill>
      <patternFill patternType="solid">
        <fgColor rgb="FFB6752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00C0"/>
        <bgColor indexed="64"/>
      </patternFill>
    </fill>
    <fill>
      <patternFill patternType="solid">
        <fgColor rgb="FFE0E0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/>
    </xf>
    <xf numFmtId="0" fontId="1" fillId="0" borderId="0" xfId="0" applyFont="1"/>
    <xf numFmtId="0" fontId="4" fillId="4" borderId="1" xfId="0" applyFont="1" applyFill="1" applyBorder="1" applyAlignment="1">
      <alignment horizontal="center"/>
    </xf>
    <xf numFmtId="14" fontId="0" fillId="3" borderId="1" xfId="0" applyNumberFormat="1" applyFill="1" applyBorder="1"/>
    <xf numFmtId="0" fontId="0" fillId="3" borderId="1" xfId="0" applyFill="1" applyBorder="1"/>
    <xf numFmtId="164" fontId="0" fillId="3" borderId="1" xfId="0" applyNumberFormat="1" applyFill="1" applyBorder="1" applyAlignment="1">
      <alignment horizontal="right"/>
    </xf>
    <xf numFmtId="49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5" borderId="1" xfId="0" applyNumberFormat="1" applyFill="1" applyBorder="1"/>
    <xf numFmtId="0" fontId="0" fillId="5" borderId="1" xfId="0" applyFill="1" applyBorder="1"/>
    <xf numFmtId="164" fontId="0" fillId="5" borderId="1" xfId="0" applyNumberFormat="1" applyFill="1" applyBorder="1" applyAlignment="1">
      <alignment horizontal="right"/>
    </xf>
    <xf numFmtId="49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2" borderId="1" xfId="0" applyFill="1" applyBorder="1"/>
    <xf numFmtId="0" fontId="4" fillId="2" borderId="1" xfId="0" applyFont="1" applyFill="1" applyBorder="1"/>
    <xf numFmtId="164" fontId="4" fillId="2" borderId="1" xfId="0" applyNumberFormat="1" applyFont="1" applyFill="1" applyBorder="1" applyAlignment="1">
      <alignment horizontal="right"/>
    </xf>
    <xf numFmtId="0" fontId="5" fillId="2" borderId="0" xfId="0" applyFont="1" applyFill="1" applyAlignment="1">
      <alignment horizontal="center"/>
    </xf>
    <xf numFmtId="49" fontId="0" fillId="0" borderId="0" xfId="0" applyNumberFormat="1"/>
    <xf numFmtId="0" fontId="4" fillId="4" borderId="0" xfId="0" applyFont="1" applyFill="1" applyAlignment="1">
      <alignment horizontal="center"/>
    </xf>
    <xf numFmtId="0" fontId="1" fillId="3" borderId="1" xfId="0" applyFont="1" applyFill="1" applyBorder="1"/>
    <xf numFmtId="0" fontId="0" fillId="6" borderId="1" xfId="0" applyFill="1" applyBorder="1"/>
    <xf numFmtId="164" fontId="0" fillId="6" borderId="1" xfId="0" applyNumberFormat="1" applyFill="1" applyBorder="1" applyAlignment="1">
      <alignment horizontal="right"/>
    </xf>
    <xf numFmtId="0" fontId="0" fillId="6" borderId="1" xfId="0" applyFill="1" applyBorder="1" applyAlignment="1">
      <alignment horizontal="center"/>
    </xf>
    <xf numFmtId="49" fontId="0" fillId="6" borderId="1" xfId="0" applyNumberFormat="1" applyFill="1" applyBorder="1" applyAlignment="1">
      <alignment horizontal="center"/>
    </xf>
    <xf numFmtId="0" fontId="6" fillId="6" borderId="1" xfId="0" applyFont="1" applyFill="1" applyBorder="1"/>
    <xf numFmtId="164" fontId="6" fillId="6" borderId="1" xfId="0" applyNumberFormat="1" applyFont="1" applyFill="1" applyBorder="1" applyAlignment="1">
      <alignment horizontal="right"/>
    </xf>
    <xf numFmtId="49" fontId="0" fillId="5" borderId="1" xfId="0" applyNumberFormat="1" applyFill="1" applyBorder="1"/>
    <xf numFmtId="14" fontId="0" fillId="6" borderId="1" xfId="0" applyNumberFormat="1" applyFill="1" applyBorder="1"/>
    <xf numFmtId="49" fontId="0" fillId="6" borderId="1" xfId="0" applyNumberFormat="1" applyFill="1" applyBorder="1"/>
    <xf numFmtId="164" fontId="1" fillId="3" borderId="1" xfId="0" applyNumberFormat="1" applyFont="1" applyFill="1" applyBorder="1" applyAlignment="1">
      <alignment horizontal="right"/>
    </xf>
    <xf numFmtId="0" fontId="2" fillId="7" borderId="0" xfId="0" applyFont="1" applyFill="1" applyAlignment="1">
      <alignment horizontal="center"/>
    </xf>
    <xf numFmtId="0" fontId="6" fillId="0" borderId="0" xfId="0" applyFont="1"/>
    <xf numFmtId="0" fontId="4" fillId="7" borderId="1" xfId="0" applyFont="1" applyFill="1" applyBorder="1"/>
    <xf numFmtId="14" fontId="0" fillId="8" borderId="1" xfId="0" applyNumberFormat="1" applyFill="1" applyBorder="1"/>
    <xf numFmtId="0" fontId="0" fillId="8" borderId="1" xfId="0" applyFill="1" applyBorder="1"/>
    <xf numFmtId="0" fontId="0" fillId="8" borderId="1" xfId="0" applyFill="1" applyBorder="1" applyAlignment="1">
      <alignment horizontal="center"/>
    </xf>
    <xf numFmtId="164" fontId="0" fillId="8" borderId="1" xfId="0" applyNumberFormat="1" applyFill="1" applyBorder="1" applyAlignment="1">
      <alignment horizontal="right"/>
    </xf>
    <xf numFmtId="49" fontId="0" fillId="8" borderId="1" xfId="0" applyNumberFormat="1" applyFill="1" applyBorder="1" applyAlignment="1">
      <alignment horizontal="center"/>
    </xf>
    <xf numFmtId="0" fontId="0" fillId="7" borderId="1" xfId="0" applyFill="1" applyBorder="1"/>
    <xf numFmtId="164" fontId="4" fillId="7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A2CBF-CDD1-44F7-9241-605DB3AF646F}">
  <sheetPr>
    <tabColor rgb="FF64381F"/>
  </sheetPr>
  <dimension ref="A1:G34"/>
  <sheetViews>
    <sheetView tabSelected="1" workbookViewId="0">
      <selection sqref="A1:G1"/>
    </sheetView>
  </sheetViews>
  <sheetFormatPr defaultRowHeight="14.5" x14ac:dyDescent="0.35"/>
  <cols>
    <col min="1" max="1" width="22.6328125" customWidth="1"/>
    <col min="2" max="2" width="28.6328125" customWidth="1"/>
    <col min="3" max="3" width="14.6328125" customWidth="1"/>
    <col min="4" max="5" width="12.6328125" customWidth="1"/>
    <col min="6" max="6" width="22.6328125" customWidth="1"/>
    <col min="7" max="7" width="14.6328125" customWidth="1"/>
  </cols>
  <sheetData>
    <row r="1" spans="1:7" ht="24" customHeight="1" x14ac:dyDescent="0.45">
      <c r="A1" s="20" t="s">
        <v>41</v>
      </c>
      <c r="B1" s="3"/>
      <c r="C1" s="3"/>
      <c r="D1" s="3"/>
      <c r="E1" s="3"/>
      <c r="F1" s="3"/>
      <c r="G1" s="3"/>
    </row>
    <row r="2" spans="1:7" x14ac:dyDescent="0.35">
      <c r="A2" s="5" t="s">
        <v>42</v>
      </c>
      <c r="B2" s="21" t="s">
        <v>43</v>
      </c>
      <c r="C2" s="21"/>
      <c r="D2" s="21"/>
      <c r="E2" s="21"/>
      <c r="F2" s="21"/>
      <c r="G2" s="21"/>
    </row>
    <row r="3" spans="1:7" x14ac:dyDescent="0.35">
      <c r="A3" s="5" t="s">
        <v>44</v>
      </c>
      <c r="B3" s="21" t="s">
        <v>45</v>
      </c>
      <c r="C3" s="21"/>
      <c r="D3" s="21"/>
      <c r="E3" s="21"/>
      <c r="F3" s="21"/>
      <c r="G3" s="21"/>
    </row>
    <row r="4" spans="1:7" x14ac:dyDescent="0.35">
      <c r="A4" s="5" t="s">
        <v>46</v>
      </c>
      <c r="B4" s="21" t="s">
        <v>47</v>
      </c>
      <c r="C4" s="21"/>
      <c r="D4" s="21"/>
      <c r="E4" s="21"/>
      <c r="F4" s="21"/>
      <c r="G4" s="21"/>
    </row>
    <row r="5" spans="1:7" x14ac:dyDescent="0.35">
      <c r="A5" s="5" t="s">
        <v>48</v>
      </c>
      <c r="B5" s="21" t="s">
        <v>49</v>
      </c>
      <c r="C5" s="21"/>
      <c r="D5" s="21"/>
      <c r="E5" s="21"/>
      <c r="F5" s="21"/>
      <c r="G5" s="21"/>
    </row>
    <row r="6" spans="1:7" x14ac:dyDescent="0.35">
      <c r="A6" s="5" t="s">
        <v>50</v>
      </c>
      <c r="B6" s="21" t="s">
        <v>51</v>
      </c>
      <c r="C6" s="21"/>
      <c r="D6" s="21"/>
      <c r="E6" s="21"/>
      <c r="F6" s="21"/>
      <c r="G6" s="21"/>
    </row>
    <row r="8" spans="1:7" x14ac:dyDescent="0.35">
      <c r="A8" s="22" t="s">
        <v>52</v>
      </c>
      <c r="B8" s="3"/>
      <c r="C8" s="3"/>
      <c r="D8" s="3"/>
      <c r="E8" s="3"/>
      <c r="F8" s="3"/>
      <c r="G8" s="3"/>
    </row>
    <row r="9" spans="1:7" x14ac:dyDescent="0.35">
      <c r="A9" s="23" t="s">
        <v>4</v>
      </c>
      <c r="B9" s="23" t="s">
        <v>5</v>
      </c>
      <c r="C9" s="23" t="s">
        <v>53</v>
      </c>
    </row>
    <row r="10" spans="1:7" x14ac:dyDescent="0.35">
      <c r="A10" s="24" t="s">
        <v>9</v>
      </c>
      <c r="B10" s="25">
        <v>1476.9</v>
      </c>
      <c r="C10" s="26">
        <v>8</v>
      </c>
    </row>
    <row r="11" spans="1:7" x14ac:dyDescent="0.35">
      <c r="A11" s="13" t="s">
        <v>13</v>
      </c>
      <c r="B11" s="14">
        <v>1645.86</v>
      </c>
      <c r="C11" s="16">
        <v>2</v>
      </c>
    </row>
    <row r="12" spans="1:7" x14ac:dyDescent="0.35">
      <c r="A12" s="24" t="s">
        <v>54</v>
      </c>
      <c r="B12" s="25">
        <v>121.21</v>
      </c>
      <c r="C12" s="26">
        <v>3</v>
      </c>
    </row>
    <row r="13" spans="1:7" x14ac:dyDescent="0.35">
      <c r="A13" s="13" t="s">
        <v>29</v>
      </c>
      <c r="B13" s="14">
        <v>2814.1</v>
      </c>
      <c r="C13" s="16">
        <v>2</v>
      </c>
    </row>
    <row r="14" spans="1:7" x14ac:dyDescent="0.35">
      <c r="A14" s="24" t="s">
        <v>26</v>
      </c>
      <c r="B14" s="25">
        <v>16.71</v>
      </c>
      <c r="C14" s="26">
        <v>1</v>
      </c>
    </row>
    <row r="15" spans="1:7" x14ac:dyDescent="0.35">
      <c r="A15" s="13" t="s">
        <v>37</v>
      </c>
      <c r="B15" s="14">
        <v>6</v>
      </c>
      <c r="C15" s="16">
        <v>1</v>
      </c>
    </row>
    <row r="16" spans="1:7" x14ac:dyDescent="0.35">
      <c r="A16" s="24" t="s">
        <v>23</v>
      </c>
      <c r="B16" s="25">
        <v>9.14</v>
      </c>
      <c r="C16" s="26">
        <v>2</v>
      </c>
    </row>
    <row r="17" spans="1:7" x14ac:dyDescent="0.35">
      <c r="A17" s="18" t="s">
        <v>40</v>
      </c>
      <c r="B17" s="19">
        <f>SUM(B10:B16)</f>
        <v>6089.92</v>
      </c>
      <c r="C17" s="17"/>
    </row>
    <row r="19" spans="1:7" x14ac:dyDescent="0.35">
      <c r="A19" s="22" t="s">
        <v>55</v>
      </c>
      <c r="B19" s="3"/>
      <c r="C19" s="3"/>
      <c r="D19" s="3"/>
      <c r="E19" s="3"/>
      <c r="F19" s="3"/>
      <c r="G19" s="3"/>
    </row>
    <row r="20" spans="1:7" x14ac:dyDescent="0.35">
      <c r="A20" s="23" t="s">
        <v>56</v>
      </c>
      <c r="B20" s="23" t="s">
        <v>3</v>
      </c>
      <c r="C20" s="23" t="s">
        <v>57</v>
      </c>
      <c r="D20" s="23" t="s">
        <v>58</v>
      </c>
      <c r="E20" s="23" t="s">
        <v>59</v>
      </c>
    </row>
    <row r="21" spans="1:7" x14ac:dyDescent="0.35">
      <c r="A21" s="15" t="s">
        <v>10</v>
      </c>
      <c r="B21" s="13" t="s">
        <v>60</v>
      </c>
      <c r="C21" s="14">
        <v>4472.6400000000003</v>
      </c>
      <c r="D21" s="14">
        <v>0</v>
      </c>
      <c r="E21" s="14">
        <v>4472.6400000000003</v>
      </c>
    </row>
    <row r="22" spans="1:7" x14ac:dyDescent="0.35">
      <c r="A22" s="27" t="s">
        <v>14</v>
      </c>
      <c r="B22" s="24" t="s">
        <v>61</v>
      </c>
      <c r="C22" s="25">
        <v>1365.1</v>
      </c>
      <c r="D22" s="25">
        <v>0</v>
      </c>
      <c r="E22" s="25">
        <v>1365.1</v>
      </c>
    </row>
    <row r="23" spans="1:7" x14ac:dyDescent="0.35">
      <c r="A23" s="15" t="s">
        <v>24</v>
      </c>
      <c r="B23" s="13" t="s">
        <v>62</v>
      </c>
      <c r="C23" s="14">
        <v>103.55</v>
      </c>
      <c r="D23" s="14">
        <v>0</v>
      </c>
      <c r="E23" s="14">
        <v>103.55</v>
      </c>
    </row>
    <row r="24" spans="1:7" x14ac:dyDescent="0.35">
      <c r="A24" s="27" t="s">
        <v>31</v>
      </c>
      <c r="B24" s="24" t="s">
        <v>63</v>
      </c>
      <c r="C24" s="25">
        <v>3.23</v>
      </c>
      <c r="D24" s="25">
        <v>20.84</v>
      </c>
      <c r="E24" s="25">
        <v>24.07</v>
      </c>
    </row>
    <row r="25" spans="1:7" x14ac:dyDescent="0.35">
      <c r="A25" s="15" t="s">
        <v>19</v>
      </c>
      <c r="B25" s="13" t="s">
        <v>19</v>
      </c>
      <c r="C25" s="14">
        <v>145.4</v>
      </c>
      <c r="D25" s="14">
        <v>0</v>
      </c>
      <c r="E25" s="14">
        <v>145.4</v>
      </c>
    </row>
    <row r="26" spans="1:7" x14ac:dyDescent="0.35">
      <c r="A26" s="28" t="s">
        <v>64</v>
      </c>
      <c r="B26" s="28" t="s">
        <v>65</v>
      </c>
      <c r="C26" s="29">
        <v>814.90000000000009</v>
      </c>
      <c r="D26" s="25">
        <v>0</v>
      </c>
      <c r="E26" s="29">
        <v>814.90000000000009</v>
      </c>
    </row>
    <row r="27" spans="1:7" x14ac:dyDescent="0.35">
      <c r="A27" s="18" t="s">
        <v>66</v>
      </c>
      <c r="B27" s="17"/>
      <c r="C27" s="19">
        <f>SUM(C21:C26)</f>
        <v>6904.82</v>
      </c>
      <c r="D27" s="19">
        <f>SUM(D21:D26)</f>
        <v>20.84</v>
      </c>
      <c r="E27" s="19">
        <f>SUM(E21:E26)</f>
        <v>6925.66</v>
      </c>
    </row>
    <row r="29" spans="1:7" x14ac:dyDescent="0.35">
      <c r="A29" s="22" t="s">
        <v>67</v>
      </c>
      <c r="B29" s="3"/>
      <c r="C29" s="3"/>
      <c r="D29" s="3"/>
      <c r="E29" s="3"/>
      <c r="F29" s="3"/>
      <c r="G29" s="3"/>
    </row>
    <row r="30" spans="1:7" x14ac:dyDescent="0.35">
      <c r="A30" s="23" t="s">
        <v>2</v>
      </c>
      <c r="B30" s="23" t="s">
        <v>68</v>
      </c>
      <c r="C30" s="23" t="s">
        <v>69</v>
      </c>
      <c r="D30" s="23" t="s">
        <v>70</v>
      </c>
      <c r="E30" s="23" t="s">
        <v>5</v>
      </c>
      <c r="F30" s="23" t="s">
        <v>71</v>
      </c>
      <c r="G30" s="23" t="s">
        <v>72</v>
      </c>
    </row>
    <row r="31" spans="1:7" x14ac:dyDescent="0.35">
      <c r="A31" s="12">
        <v>46174</v>
      </c>
      <c r="B31" s="13" t="s">
        <v>73</v>
      </c>
      <c r="C31" s="30" t="s">
        <v>74</v>
      </c>
      <c r="D31" s="30" t="s">
        <v>75</v>
      </c>
      <c r="E31" s="14">
        <v>442.2</v>
      </c>
      <c r="F31" s="13" t="s">
        <v>76</v>
      </c>
      <c r="G31" s="15" t="s">
        <v>77</v>
      </c>
    </row>
    <row r="32" spans="1:7" x14ac:dyDescent="0.35">
      <c r="A32" s="31">
        <v>46159</v>
      </c>
      <c r="B32" s="24" t="s">
        <v>78</v>
      </c>
      <c r="C32" s="32" t="s">
        <v>79</v>
      </c>
      <c r="D32" s="32" t="s">
        <v>80</v>
      </c>
      <c r="E32" s="25">
        <v>145.4</v>
      </c>
      <c r="F32" s="24" t="s">
        <v>81</v>
      </c>
      <c r="G32" s="27" t="s">
        <v>82</v>
      </c>
    </row>
    <row r="33" spans="1:7" x14ac:dyDescent="0.35">
      <c r="A33" s="12">
        <v>46159</v>
      </c>
      <c r="B33" s="13" t="s">
        <v>83</v>
      </c>
      <c r="C33" s="30" t="s">
        <v>84</v>
      </c>
      <c r="D33" s="30" t="s">
        <v>75</v>
      </c>
      <c r="E33" s="14">
        <v>227.3</v>
      </c>
      <c r="F33" s="13" t="s">
        <v>85</v>
      </c>
      <c r="G33" s="15" t="s">
        <v>14</v>
      </c>
    </row>
    <row r="34" spans="1:7" x14ac:dyDescent="0.35">
      <c r="A34" s="8"/>
      <c r="B34" s="23" t="s">
        <v>86</v>
      </c>
      <c r="C34" s="8"/>
      <c r="D34" s="8"/>
      <c r="E34" s="33">
        <f>SUM(E31:E33)</f>
        <v>814.90000000000009</v>
      </c>
      <c r="F34" s="8"/>
      <c r="G34" s="8"/>
    </row>
  </sheetData>
  <mergeCells count="9">
    <mergeCell ref="A8:G8"/>
    <mergeCell ref="A19:G19"/>
    <mergeCell ref="A29:G29"/>
    <mergeCell ref="A1:G1"/>
    <mergeCell ref="B2:G2"/>
    <mergeCell ref="B3:G3"/>
    <mergeCell ref="B4:G4"/>
    <mergeCell ref="B5:G5"/>
    <mergeCell ref="B6:G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91A64-1B54-437E-899C-F60121CFBDDA}">
  <sheetPr>
    <tabColor rgb="FFB6752E"/>
  </sheetPr>
  <dimension ref="A1:F23"/>
  <sheetViews>
    <sheetView workbookViewId="0">
      <pane ySplit="3" topLeftCell="A4" activePane="bottomLeft" state="frozen"/>
      <selection pane="bottomLeft" activeCell="A4" sqref="A4:XFD4"/>
    </sheetView>
  </sheetViews>
  <sheetFormatPr defaultRowHeight="14.5" x14ac:dyDescent="0.35"/>
  <cols>
    <col min="1" max="1" width="10.6328125" customWidth="1"/>
    <col min="2" max="2" width="44.6328125" customWidth="1"/>
    <col min="3" max="3" width="14.6328125" customWidth="1"/>
    <col min="4" max="4" width="12.6328125" customWidth="1"/>
    <col min="5" max="5" width="8.6328125" customWidth="1"/>
    <col min="6" max="6" width="10.6328125" customWidth="1"/>
  </cols>
  <sheetData>
    <row r="1" spans="1:6" ht="22" customHeight="1" x14ac:dyDescent="0.4">
      <c r="A1" s="2" t="s">
        <v>0</v>
      </c>
      <c r="B1" s="3"/>
      <c r="C1" s="3"/>
      <c r="D1" s="3"/>
      <c r="E1" s="3"/>
      <c r="F1" s="3"/>
    </row>
    <row r="2" spans="1:6" x14ac:dyDescent="0.35">
      <c r="A2" s="4" t="s">
        <v>1</v>
      </c>
      <c r="B2" s="3"/>
      <c r="C2" s="3"/>
      <c r="D2" s="3"/>
      <c r="E2" s="3"/>
      <c r="F2" s="3"/>
    </row>
    <row r="3" spans="1:6" ht="16" customHeight="1" x14ac:dyDescent="0.35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</row>
    <row r="4" spans="1:6" x14ac:dyDescent="0.35">
      <c r="A4" s="7">
        <v>46157</v>
      </c>
      <c r="B4" s="8" t="s">
        <v>8</v>
      </c>
      <c r="C4" s="8" t="s">
        <v>9</v>
      </c>
      <c r="D4" s="9">
        <v>467.2</v>
      </c>
      <c r="E4" s="10" t="s">
        <v>10</v>
      </c>
      <c r="F4" s="11" t="s">
        <v>11</v>
      </c>
    </row>
    <row r="5" spans="1:6" x14ac:dyDescent="0.35">
      <c r="A5" s="12">
        <v>46159</v>
      </c>
      <c r="B5" s="13" t="s">
        <v>12</v>
      </c>
      <c r="C5" s="13" t="s">
        <v>13</v>
      </c>
      <c r="D5" s="14">
        <v>94.12</v>
      </c>
      <c r="E5" s="15" t="s">
        <v>14</v>
      </c>
      <c r="F5" s="16" t="s">
        <v>11</v>
      </c>
    </row>
    <row r="6" spans="1:6" x14ac:dyDescent="0.35">
      <c r="A6" s="7">
        <v>46159</v>
      </c>
      <c r="B6" s="8" t="s">
        <v>15</v>
      </c>
      <c r="C6" s="8" t="s">
        <v>16</v>
      </c>
      <c r="D6" s="9">
        <v>16.75</v>
      </c>
      <c r="E6" s="10" t="s">
        <v>10</v>
      </c>
      <c r="F6" s="11" t="s">
        <v>11</v>
      </c>
    </row>
    <row r="7" spans="1:6" x14ac:dyDescent="0.35">
      <c r="A7" s="12">
        <v>46159</v>
      </c>
      <c r="B7" s="13" t="s">
        <v>17</v>
      </c>
      <c r="C7" s="13" t="s">
        <v>9</v>
      </c>
      <c r="D7" s="14">
        <v>227.3</v>
      </c>
      <c r="E7" s="15" t="s">
        <v>14</v>
      </c>
      <c r="F7" s="16" t="s">
        <v>11</v>
      </c>
    </row>
    <row r="8" spans="1:6" x14ac:dyDescent="0.35">
      <c r="A8" s="7">
        <v>46159</v>
      </c>
      <c r="B8" s="8" t="s">
        <v>18</v>
      </c>
      <c r="C8" s="8" t="s">
        <v>9</v>
      </c>
      <c r="D8" s="9">
        <v>145.4</v>
      </c>
      <c r="E8" s="10" t="s">
        <v>19</v>
      </c>
      <c r="F8" s="11" t="s">
        <v>11</v>
      </c>
    </row>
    <row r="9" spans="1:6" x14ac:dyDescent="0.35">
      <c r="A9" s="12">
        <v>46159</v>
      </c>
      <c r="B9" s="13" t="s">
        <v>20</v>
      </c>
      <c r="C9" s="13" t="s">
        <v>9</v>
      </c>
      <c r="D9" s="14">
        <v>43.5</v>
      </c>
      <c r="E9" s="15" t="s">
        <v>14</v>
      </c>
      <c r="F9" s="16" t="s">
        <v>11</v>
      </c>
    </row>
    <row r="10" spans="1:6" x14ac:dyDescent="0.35">
      <c r="A10" s="7">
        <v>46159</v>
      </c>
      <c r="B10" s="8" t="s">
        <v>21</v>
      </c>
      <c r="C10" s="8" t="s">
        <v>9</v>
      </c>
      <c r="D10" s="9">
        <v>45</v>
      </c>
      <c r="E10" s="10" t="s">
        <v>10</v>
      </c>
      <c r="F10" s="11" t="s">
        <v>11</v>
      </c>
    </row>
    <row r="11" spans="1:6" x14ac:dyDescent="0.35">
      <c r="A11" s="12">
        <v>46161</v>
      </c>
      <c r="B11" s="13" t="s">
        <v>22</v>
      </c>
      <c r="C11" s="13" t="s">
        <v>23</v>
      </c>
      <c r="D11" s="14">
        <v>5.91</v>
      </c>
      <c r="E11" s="15" t="s">
        <v>24</v>
      </c>
      <c r="F11" s="16" t="s">
        <v>11</v>
      </c>
    </row>
    <row r="12" spans="1:6" x14ac:dyDescent="0.35">
      <c r="A12" s="7">
        <v>46163</v>
      </c>
      <c r="B12" s="8" t="s">
        <v>25</v>
      </c>
      <c r="C12" s="8" t="s">
        <v>26</v>
      </c>
      <c r="D12" s="9">
        <v>16.71</v>
      </c>
      <c r="E12" s="10" t="s">
        <v>14</v>
      </c>
      <c r="F12" s="11" t="s">
        <v>11</v>
      </c>
    </row>
    <row r="13" spans="1:6" x14ac:dyDescent="0.35">
      <c r="A13" s="12">
        <v>46165</v>
      </c>
      <c r="B13" s="13" t="s">
        <v>27</v>
      </c>
      <c r="C13" s="13" t="s">
        <v>16</v>
      </c>
      <c r="D13" s="14">
        <v>67.819999999999993</v>
      </c>
      <c r="E13" s="15" t="s">
        <v>14</v>
      </c>
      <c r="F13" s="16" t="s">
        <v>11</v>
      </c>
    </row>
    <row r="14" spans="1:6" x14ac:dyDescent="0.35">
      <c r="A14" s="7">
        <v>46165</v>
      </c>
      <c r="B14" s="8" t="s">
        <v>28</v>
      </c>
      <c r="C14" s="8" t="s">
        <v>29</v>
      </c>
      <c r="D14" s="9">
        <v>915.65</v>
      </c>
      <c r="E14" s="10" t="s">
        <v>14</v>
      </c>
      <c r="F14" s="11" t="s">
        <v>11</v>
      </c>
    </row>
    <row r="15" spans="1:6" x14ac:dyDescent="0.35">
      <c r="A15" s="12">
        <v>46166</v>
      </c>
      <c r="B15" s="13" t="s">
        <v>30</v>
      </c>
      <c r="C15" s="13" t="s">
        <v>23</v>
      </c>
      <c r="D15" s="14">
        <v>3.23</v>
      </c>
      <c r="E15" s="15" t="s">
        <v>31</v>
      </c>
      <c r="F15" s="16" t="s">
        <v>11</v>
      </c>
    </row>
    <row r="16" spans="1:6" x14ac:dyDescent="0.35">
      <c r="A16" s="7">
        <v>46174</v>
      </c>
      <c r="B16" s="8" t="s">
        <v>32</v>
      </c>
      <c r="C16" s="8" t="s">
        <v>13</v>
      </c>
      <c r="D16" s="9">
        <v>1551.74</v>
      </c>
      <c r="E16" s="10" t="s">
        <v>10</v>
      </c>
      <c r="F16" s="11" t="s">
        <v>11</v>
      </c>
    </row>
    <row r="17" spans="1:6" x14ac:dyDescent="0.35">
      <c r="A17" s="12">
        <v>46174</v>
      </c>
      <c r="B17" s="13" t="s">
        <v>33</v>
      </c>
      <c r="C17" s="13" t="s">
        <v>29</v>
      </c>
      <c r="D17" s="14">
        <v>1898.45</v>
      </c>
      <c r="E17" s="15" t="s">
        <v>10</v>
      </c>
      <c r="F17" s="16" t="s">
        <v>11</v>
      </c>
    </row>
    <row r="18" spans="1:6" x14ac:dyDescent="0.35">
      <c r="A18" s="7">
        <v>46174</v>
      </c>
      <c r="B18" s="8" t="s">
        <v>34</v>
      </c>
      <c r="C18" s="8" t="s">
        <v>9</v>
      </c>
      <c r="D18" s="9">
        <v>55</v>
      </c>
      <c r="E18" s="10" t="s">
        <v>24</v>
      </c>
      <c r="F18" s="11" t="s">
        <v>11</v>
      </c>
    </row>
    <row r="19" spans="1:6" x14ac:dyDescent="0.35">
      <c r="A19" s="12">
        <v>46174</v>
      </c>
      <c r="B19" s="13" t="s">
        <v>35</v>
      </c>
      <c r="C19" s="13" t="s">
        <v>16</v>
      </c>
      <c r="D19" s="14">
        <v>36.64</v>
      </c>
      <c r="E19" s="15" t="s">
        <v>24</v>
      </c>
      <c r="F19" s="16" t="s">
        <v>11</v>
      </c>
    </row>
    <row r="20" spans="1:6" x14ac:dyDescent="0.35">
      <c r="A20" s="7">
        <v>46174</v>
      </c>
      <c r="B20" s="8" t="s">
        <v>36</v>
      </c>
      <c r="C20" s="8" t="s">
        <v>37</v>
      </c>
      <c r="D20" s="9">
        <v>6</v>
      </c>
      <c r="E20" s="10" t="s">
        <v>24</v>
      </c>
      <c r="F20" s="11" t="s">
        <v>11</v>
      </c>
    </row>
    <row r="21" spans="1:6" x14ac:dyDescent="0.35">
      <c r="A21" s="12">
        <v>46174</v>
      </c>
      <c r="B21" s="13" t="s">
        <v>38</v>
      </c>
      <c r="C21" s="13" t="s">
        <v>9</v>
      </c>
      <c r="D21" s="14">
        <v>442.2</v>
      </c>
      <c r="E21" s="15" t="s">
        <v>10</v>
      </c>
      <c r="F21" s="16" t="s">
        <v>11</v>
      </c>
    </row>
    <row r="22" spans="1:6" x14ac:dyDescent="0.35">
      <c r="A22" s="7">
        <v>46174</v>
      </c>
      <c r="B22" s="8" t="s">
        <v>39</v>
      </c>
      <c r="C22" s="8" t="s">
        <v>9</v>
      </c>
      <c r="D22" s="9">
        <v>51.3</v>
      </c>
      <c r="E22" s="10" t="s">
        <v>10</v>
      </c>
      <c r="F22" s="11" t="s">
        <v>11</v>
      </c>
    </row>
    <row r="23" spans="1:6" x14ac:dyDescent="0.35">
      <c r="A23" s="17"/>
      <c r="B23" s="18" t="s">
        <v>40</v>
      </c>
      <c r="C23" s="17"/>
      <c r="D23" s="19">
        <f>SUMIF(F4:F22,"Yes",D4:D22)</f>
        <v>6089.92</v>
      </c>
      <c r="E23" s="17"/>
      <c r="F23" s="17"/>
    </row>
  </sheetData>
  <mergeCells count="2">
    <mergeCell ref="A1:F1"/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9D9CD-AEF1-47ED-B0BE-140A5D7C1ABB}">
  <sheetPr>
    <tabColor rgb="FF0000C0"/>
  </sheetPr>
  <dimension ref="A1:F5"/>
  <sheetViews>
    <sheetView workbookViewId="0"/>
  </sheetViews>
  <sheetFormatPr defaultRowHeight="14.5" x14ac:dyDescent="0.35"/>
  <cols>
    <col min="1" max="1" width="10.6328125" customWidth="1"/>
    <col min="2" max="2" width="40.6328125" customWidth="1"/>
    <col min="3" max="3" width="14.6328125" customWidth="1"/>
    <col min="4" max="4" width="12.6328125" customWidth="1"/>
    <col min="5" max="5" width="8.6328125" customWidth="1"/>
    <col min="6" max="6" width="16.6328125" customWidth="1"/>
  </cols>
  <sheetData>
    <row r="1" spans="1:6" ht="22" customHeight="1" x14ac:dyDescent="0.4">
      <c r="A1" s="34" t="s">
        <v>87</v>
      </c>
      <c r="B1" s="3"/>
      <c r="C1" s="3"/>
      <c r="D1" s="3"/>
      <c r="E1" s="3"/>
      <c r="F1" s="3"/>
    </row>
    <row r="2" spans="1:6" x14ac:dyDescent="0.35">
      <c r="A2" s="35" t="s">
        <v>88</v>
      </c>
      <c r="B2" s="1"/>
      <c r="C2" s="1"/>
      <c r="D2" s="1"/>
      <c r="E2" s="1"/>
      <c r="F2" s="1"/>
    </row>
    <row r="3" spans="1:6" x14ac:dyDescent="0.35">
      <c r="A3" s="36" t="s">
        <v>2</v>
      </c>
      <c r="B3" s="36" t="s">
        <v>3</v>
      </c>
      <c r="C3" s="36" t="s">
        <v>4</v>
      </c>
      <c r="D3" s="36" t="s">
        <v>5</v>
      </c>
      <c r="E3" s="36" t="s">
        <v>6</v>
      </c>
      <c r="F3" s="36" t="s">
        <v>89</v>
      </c>
    </row>
    <row r="4" spans="1:6" x14ac:dyDescent="0.35">
      <c r="A4" s="37">
        <v>46173</v>
      </c>
      <c r="B4" s="38" t="s">
        <v>90</v>
      </c>
      <c r="C4" s="39" t="s">
        <v>91</v>
      </c>
      <c r="D4" s="40">
        <v>20.84</v>
      </c>
      <c r="E4" s="41" t="s">
        <v>31</v>
      </c>
      <c r="F4" s="39" t="s">
        <v>91</v>
      </c>
    </row>
    <row r="5" spans="1:6" x14ac:dyDescent="0.35">
      <c r="A5" s="42"/>
      <c r="B5" s="36" t="s">
        <v>92</v>
      </c>
      <c r="C5" s="42"/>
      <c r="D5" s="43">
        <f>SUM(D4:D4)</f>
        <v>20.84</v>
      </c>
      <c r="E5" s="42"/>
      <c r="F5" s="42"/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Expenses</vt:lpstr>
      <vt:lpstr>Excluded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 Castellano</dc:creator>
  <cp:lastModifiedBy>Pete Castellano</cp:lastModifiedBy>
  <dcterms:created xsi:type="dcterms:W3CDTF">2026-06-12T16:17:13Z</dcterms:created>
  <dcterms:modified xsi:type="dcterms:W3CDTF">2026-06-12T16:17:17Z</dcterms:modified>
</cp:coreProperties>
</file>