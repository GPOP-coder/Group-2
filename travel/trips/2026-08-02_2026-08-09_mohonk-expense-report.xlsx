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Group-2\travel\trips\"/>
    </mc:Choice>
  </mc:AlternateContent>
  <xr:revisionPtr revIDLastSave="0" documentId="8_{7EC3ABDD-310A-45DE-B94B-6C00EDDCFD16}" xr6:coauthVersionLast="47" xr6:coauthVersionMax="47" xr10:uidLastSave="{00000000-0000-0000-0000-000000000000}"/>
  <bookViews>
    <workbookView xWindow="2263" yWindow="2263" windowWidth="15428" windowHeight="9454" xr2:uid="{130B8C68-8788-4F3A-B927-7780531E84BE}"/>
  </bookViews>
  <sheets>
    <sheet name="Summary" sheetId="2" r:id="rId1"/>
    <sheet name="ER Detail" sheetId="1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2" l="1"/>
  <c r="B23" i="2"/>
  <c r="E34" i="1"/>
  <c r="B33" i="1"/>
  <c r="E33" i="1"/>
  <c r="B32" i="1"/>
  <c r="E32" i="1"/>
  <c r="B31" i="1"/>
  <c r="E31" i="1"/>
  <c r="B30" i="1"/>
  <c r="E30" i="1"/>
  <c r="B29" i="1"/>
  <c r="E29" i="1"/>
  <c r="B28" i="1"/>
  <c r="E28" i="1"/>
  <c r="B27" i="1"/>
  <c r="E27" i="1"/>
  <c r="B26" i="1"/>
  <c r="E26" i="1"/>
  <c r="B25" i="1"/>
  <c r="E25" i="1"/>
  <c r="B24" i="1"/>
  <c r="E24" i="1"/>
  <c r="E23" i="1"/>
  <c r="B23" i="1"/>
  <c r="E22" i="1"/>
  <c r="B22" i="1"/>
  <c r="E21" i="1"/>
  <c r="B21" i="1"/>
  <c r="E20" i="1"/>
  <c r="B20" i="1"/>
  <c r="E19" i="1"/>
  <c r="B19" i="1"/>
  <c r="E18" i="1"/>
  <c r="B18" i="1"/>
  <c r="E17" i="1"/>
  <c r="B17" i="1"/>
  <c r="E16" i="1"/>
  <c r="B16" i="1"/>
  <c r="E15" i="1"/>
  <c r="B15" i="1"/>
  <c r="E14" i="1"/>
  <c r="B14" i="1"/>
  <c r="E13" i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E6" i="1"/>
  <c r="B6" i="1"/>
  <c r="E5" i="1"/>
  <c r="B5" i="1"/>
</calcChain>
</file>

<file path=xl/sharedStrings.xml><?xml version="1.0" encoding="utf-8"?>
<sst xmlns="http://schemas.openxmlformats.org/spreadsheetml/2006/main" count="208" uniqueCount="115">
  <si>
    <t>UNIFOCUS EXPENSE REPORT  |  Mohonk Mountain House</t>
  </si>
  <si>
    <t>Start Date:</t>
  </si>
  <si>
    <t>End Date:</t>
  </si>
  <si>
    <t>NAME:</t>
  </si>
  <si>
    <t>Pete Castellano</t>
  </si>
  <si>
    <t>Date</t>
  </si>
  <si>
    <t>Day</t>
  </si>
  <si>
    <t>Amount</t>
  </si>
  <si>
    <t>Exchange Rate</t>
  </si>
  <si>
    <t>Amt in USD</t>
  </si>
  <si>
    <t>Paid by</t>
  </si>
  <si>
    <t>Details</t>
  </si>
  <si>
    <t>Category</t>
  </si>
  <si>
    <t>Billable/UF</t>
  </si>
  <si>
    <t>Charge Code</t>
  </si>
  <si>
    <t>Charge Source</t>
  </si>
  <si>
    <t>PERSONAL</t>
  </si>
  <si>
    <t>SW OMA-ORD-EWR (AA GFLPYC), ticket 0012349569454 (outbound leg of round trip)</t>
  </si>
  <si>
    <t>Air Fare</t>
  </si>
  <si>
    <t>Mohonk Mountain House</t>
  </si>
  <si>
    <t/>
  </si>
  <si>
    <t>AA Flight Credit [AA-2026-001] (source: Visa -2674, per flight-credits.md)</t>
  </si>
  <si>
    <t>AA Flight Credit [AA-2026-002] (source: Visa -2674, per flight-credits.md)</t>
  </si>
  <si>
    <t>AA OMA-ORD-EWR (AA GFLPYC), ticket 0012349569454 - cash balance after flight credits (outbound leg of round trip)</t>
  </si>
  <si>
    <t>Visa -2674</t>
  </si>
  <si>
    <t>AA EWR-ORD-OMA (AA JMTNHX), ticket 0012362823941 - return leg, dated with outbound per round-trip convention; cancelled 8/7 for weather, rebooked by AA to 8/9 at no additional charge</t>
  </si>
  <si>
    <t>Budget rental car, VW Atlas Cross Sport AWD, agreement 266355924, EWR pickup 8/2 2:45PM - actual return 8/7 3:37PM, 218 mi driven (odometer 3890-4108), Net Charges confirmed USD 468.21, Total Due 0.00 - final receipt matches estimate exactly, no variance</t>
  </si>
  <si>
    <t>Car Rental</t>
  </si>
  <si>
    <t>McDonald's mobile order, 568 Myrtle Ave, Boonton NJ (3:30 PM) - Bacon Quarter Pounder w/Cheese Large Meal (fries, unsweetened iced tea)</t>
  </si>
  <si>
    <t>Lunch</t>
  </si>
  <si>
    <t>Visa -8289</t>
  </si>
  <si>
    <t>E-ZPass NY toll near New Paltz, NY (outbound, EWR to Mohonk, later in the drive) - Temporary Travel Account ending xxxxxx8500, paid 8/8/26, confirmed by phone with E-ZPass NY as the only toll registered on the rental (no return-leg toll)</t>
  </si>
  <si>
    <t>Gas/Tolls</t>
  </si>
  <si>
    <t>Omaha Eppley Airfield (OMA) short-term parking, entry 8/2 05:41 - exit 8/3 07:46, receipt 13366 - paid by Brian Brazeal who borrowed Pete's car from OMA for the week; Pete to reimburse Brian, claimed on ER</t>
  </si>
  <si>
    <t>Parking</t>
  </si>
  <si>
    <t>Capital One Visa -9323 (Brian Brazeal)</t>
  </si>
  <si>
    <t>Taco Bell #040713, 238 Main St, New Paltz NY (senior discount applied) - lunch, on way down from Mohonk</t>
  </si>
  <si>
    <t>QuickChek #146, Whippany NJ - gas, rental car, before drop-off, 7.396 gal @ .959/gal</t>
  </si>
  <si>
    <t>Hotel Seville Nomad (weather-delay hotel, booked after EWR cancellation), 2 nights, Hyatt folio 2529375976, Hotels.com itinerary 73517117133488</t>
  </si>
  <si>
    <t>Hotel</t>
  </si>
  <si>
    <t>Uber, EWR Terminal A (8:09 PM) to Hotel Seville Nomad (9:03 PM), UberXL, driver Oleg, 17.82 mi/54 min</t>
  </si>
  <si>
    <t>Taxi/Train/Bus</t>
  </si>
  <si>
    <t>Scarpetta/LDV Hospitality (88 Madison Ave, NYC) - dinner after arriving hotel, Restaurant Week prix fixe</t>
  </si>
  <si>
    <t>Dinner</t>
  </si>
  <si>
    <t>McDonald's mobile order (401 Park Ave S, NYC) - breakfast, Egg McMuffin + large unsweetened iced tea</t>
  </si>
  <si>
    <t>Bkfst</t>
  </si>
  <si>
    <t>Tallow - Shaver Hall (424 5th Ave, NYC) - dinner take-out, full billable meal value (.85 food + .77 tip); -.85 credit applied, net card charge .77</t>
  </si>
  <si>
    <t>Visa -7552 (WF Active Cash)</t>
  </si>
  <si>
    <t>Chick Chick at Shaver Hall (424 5th Ave, NYC) - drink after Tallow dinner</t>
  </si>
  <si>
    <t>Other</t>
  </si>
  <si>
    <t>Uber, Hotel Seville Nomad (3:01 AM) to EWR Terminal A (3:33 AM), UberX, driver Muhammad, 19.45 mi/31 min - fare+fees .65 + tip .04 (charged as 2 separate transactions 1 minute apart, combined here on one line)</t>
  </si>
  <si>
    <t>Hotel Seville Nomad - mandatory fees, confirmed via property folio (Destination Fee /night x2 + NYC Sales Tax 8.875% + NYC Occupancy Tax 5.875%), Hyatt folio/confirmation 2529375976</t>
  </si>
  <si>
    <t>McDonald's #26777 (ORD Terminal 3, 6:56 AM) - breakfast, layover on return home</t>
  </si>
  <si>
    <t>TOTAL</t>
  </si>
  <si>
    <t>MOHONK MOUNTAIN HOUSE TRIP EXPENSE REPORT  -  AUG 2 to AUG 9, 2026</t>
  </si>
  <si>
    <t>Traveler</t>
  </si>
  <si>
    <t>Purpose</t>
  </si>
  <si>
    <t>Onsite standards review + admin/manager training (billable to Unifocus)</t>
  </si>
  <si>
    <t>Dates</t>
  </si>
  <si>
    <t>Aug 2 - Aug 9, 2026 (7 nights - trip extended 2 nights due to AA weather cancellation at EWR on 8/7)</t>
  </si>
  <si>
    <t>Property</t>
  </si>
  <si>
    <t>Compiled</t>
  </si>
  <si>
    <t>August 13, 2026</t>
  </si>
  <si>
    <t>Note</t>
  </si>
  <si>
    <t>Hotel at Mohonk itself comped by property (Room 165, confirmation 7833637490-1) - not included in reimbursement total. Return flight cancelled 8/7 for weather; AA rebooked to 8/9 at no additional fare. All weather-delay expenses (hotel, Uber, meals 8/7-8/9) are billable on this ER per trip receipt log.</t>
  </si>
  <si>
    <t>Weather Delay Justification</t>
  </si>
  <si>
    <t>Original return AA JMTNHX (EWR-ORD-OMA) cancelled by American Airlines 8/7/26 due to weather - no flight operations resumed until 8/9. AA rebooked at no additional fare: EWR dep 5:29 AM (AA2917) - ORD arr 7:15 AM - ORD dep 8:03 AM (AA6389, SkyWest/American Eagle) - OMA arr 9:49 AM. AA rebooking confirmation to be attached as supporting documentation.</t>
  </si>
  <si>
    <t>Notification</t>
  </si>
  <si>
    <t>Both Unifocus and Mohonk Mountain House were notified of the weather delay by Pete. Both acknowledged and are not concerned about the resulting added expense.</t>
  </si>
  <si>
    <t>SUMMARY BY CATEGORY</t>
  </si>
  <si>
    <t># Items</t>
  </si>
  <si>
    <t>TOTAL REIMBURSABLE (known)</t>
  </si>
  <si>
    <t>SUMMARY BY PAYMENT TYPE</t>
  </si>
  <si>
    <t>Payment Type</t>
  </si>
  <si>
    <t>Description</t>
  </si>
  <si>
    <t>-2674</t>
  </si>
  <si>
    <t>Visa SW Rapid Rewards+ (flight cash balance, return flight, Taco Bell, gas, hotel + fees, both Ubers + separate return tip, Scarpetta, Chick Chick, E-ZPass, ORD breakfast, Budget rental car)</t>
  </si>
  <si>
    <t>SW Credit</t>
  </si>
  <si>
    <t>Southwest Flight Credit (outbound)</t>
  </si>
  <si>
    <t>-8289</t>
  </si>
  <si>
    <t>Visa (McDonald's Boonton NJ + McDonald's NYC breakfast)</t>
  </si>
  <si>
    <t>-7552</t>
  </si>
  <si>
    <t>Visa WF Active Cash (Tallow - Shaver Hall dinner, full billable value; net card charge was .77 after credit)</t>
  </si>
  <si>
    <t>-9323</t>
  </si>
  <si>
    <t>Capital One Visa (Brian Brazeal) - OMA short-term parking, Pete to reimburse Brian</t>
  </si>
  <si>
    <t>OPEN ITEMS BEFORE SUBMISSION</t>
  </si>
  <si>
    <t>- Tolls confirmed closed 8/13/26: Pete called E-ZPass NY directly - .74 near New Paltz, NY (outbound, 8/2) was the only toll registered on the rental; no return-leg toll.</t>
  </si>
  <si>
    <t>- Rental car final charge and card not yet confirmed against Budget drop-off receipt (est. .21 used above).</t>
  </si>
  <si>
    <t>- Excluded as not billable: Unlimited Biking NYC Summer Streets (, personal activity) and Zaro's #4033 EWR bottled water (.08, flagged 'likely not claiming' in receipt log).</t>
  </si>
  <si>
    <t>UNIFOCUS ER QUICK REFERENCE (from ER Cheat Sheet.pdf, dated 5/10/2021 - verify still current with Ralph if in doubt)</t>
  </si>
  <si>
    <t>Paid by: UF (Unifocus paid directly, e.g. their-booked airfare), PERSONAL (you paid), OTHER (company card).</t>
  </si>
  <si>
    <t>Category: Air Fare, Taxi/Train/Bus, Car Rental, Gas/Tolls, Parking, Hotel, Bkfst, Lunch, Dinner, Phone/Data, Computer, Other, Postage, Misc.</t>
  </si>
  <si>
    <t xml:space="preserve">  -&gt; Meals are split by meal period (Bkfst/Lunch/Dinner), not one generic Meals line.</t>
  </si>
  <si>
    <t>Billable/UF column: enter the client name being billed (Mohonk Mountain House for this report), or UF if not client-billable.</t>
  </si>
  <si>
    <t>Charge Code: leave BLANK when a client is being billed. Only use code 62 (consultant) if Unifocus itself is billed, not the client. Ralph watches this field closely.</t>
  </si>
  <si>
    <t>Exchange Rate: always 1.00 unless an international property - then use that day's rate.</t>
  </si>
  <si>
    <t>Amt in USD: auto-calculated (Amount x Exchange Rate) - never type into it directly.</t>
  </si>
  <si>
    <t>SUBMISSION:</t>
  </si>
  <si>
    <t>- New email with two attachments: (1) the completed Excel file, named with your last name, (2) receipts as separate attachments or one combined PDF.</t>
  </si>
  <si>
    <t>- Airfare: the original travel confirmation email is fine to attach as-is.</t>
  </si>
  <si>
    <t>- Meals/taxi: clear photo or scan, amount and date legible.</t>
  </si>
  <si>
    <t>- Uber/rideshare: forward the receipt email.</t>
  </si>
  <si>
    <t>- Mileage: PDF of the Google Maps route as proof.</t>
  </si>
  <si>
    <t>- Never forward the travel/ER email itself as the submission - always a fresh email.</t>
  </si>
  <si>
    <t>- Never put receipts inside the Excel file.</t>
  </si>
  <si>
    <t>- Never send receipts as Word docs - print to PDF first if needed.</t>
  </si>
  <si>
    <t>- Missing a receipt: a bank/card statement screenshot is acceptable.</t>
  </si>
  <si>
    <t>This workbook uses the same column order as Unifocus's own blank ER form (Date, Day, Amount, Exchange Rate,</t>
  </si>
  <si>
    <t>Amt in USD, Paid by, Details, Category, Billable/UF, Charge Code) so rows can be cut and pasted directly</t>
  </si>
  <si>
    <t>into the official template once it's opened.</t>
  </si>
  <si>
    <t>MOHONK-SPECIFIC NOTES:</t>
  </si>
  <si>
    <t>- Mohonk hotel stay itself was comped by the property - not on this ER.</t>
  </si>
  <si>
    <t>- Weather-delay expenses (Hotel Seville Nomad, Ubers, meals 8/7-8/9) are billable here because the return flight</t>
  </si>
  <si>
    <t xml:space="preserve">  cancellation was outside Pete's control and directly extended the trip; confirm this framing with Ralph if asked.</t>
  </si>
  <si>
    <t>- Tolls resolved 8/13/26: Pete called E-ZPass NY directly, confirmed the .74 New Paltz NY charge (8/2, outbound) was the only toll on the rental.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</si>
</sst>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F0E4D6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0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4" fontId="0" fillId="3" borderId="0" xfId="0" applyNumberFormat="1" applyFill="1"/>
    <xf numFmtId="0" fontId="0" fillId="4" borderId="0" xfId="0" applyFill="1"/>
    <xf numFmtId="0" fontId="3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14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right"/>
    </xf>
    <xf numFmtId="2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49" fontId="0" fillId="6" borderId="1" xfId="0" applyNumberFormat="1" applyFill="1" applyBorder="1" applyAlignment="1">
      <alignment horizontal="center"/>
    </xf>
    <xf numFmtId="1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right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49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/>
    <xf numFmtId="49" fontId="0" fillId="4" borderId="1" xfId="0" applyNumberFormat="1" applyFill="1" applyBorder="1"/>
    <xf numFmtId="164" fontId="0" fillId="6" borderId="1" xfId="0" applyNumberFormat="1" applyFill="1" applyBorder="1"/>
    <xf numFmtId="49" fontId="0" fillId="6" borderId="1" xfId="0" applyNumberFormat="1" applyFill="1" applyBorder="1"/>
    <xf numFmtId="0" fontId="0" fillId="2" borderId="1" xfId="0" applyFill="1" applyBorder="1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49" fontId="0" fillId="0" borderId="0" xfId="0" applyNumberFormat="1"/>
    <xf numFmtId="0" fontId="3" fillId="5" borderId="0" xfId="0" applyFont="1" applyFill="1" applyAlignment="1">
      <alignment horizontal="center"/>
    </xf>
    <xf numFmtId="0" fontId="1" fillId="4" borderId="1" xfId="0" applyFont="1" applyFill="1" applyBorder="1"/>
    <xf numFmtId="0" fontId="0" fillId="7" borderId="1" xfId="0" applyFill="1" applyBorder="1"/>
    <xf numFmtId="164" fontId="0" fillId="7" borderId="1" xfId="0" applyNumberFormat="1" applyFill="1" applyBorder="1" applyAlignment="1">
      <alignment horizontal="right"/>
    </xf>
    <xf numFmtId="0" fontId="0" fillId="7" borderId="1" xfId="0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0" fontId="3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4965-0C6F-47B7-8C7E-053EB55B29C1}">
  <sheetPr>
    <tabColor rgb="FF64381F"/>
  </sheetPr>
  <dimension ref="A1:E37"/>
  <sheetViews>
    <sheetView tabSelected="1" workbookViewId="0">
      <selection sqref="A1:E1"/>
    </sheetView>
  </sheetViews>
  <sheetFormatPr defaultRowHeight="14.6" x14ac:dyDescent="0.4"/>
  <cols>
    <col min="1" max="1" width="22.69140625" customWidth="1"/>
    <col min="2" max="2" width="40.69140625" customWidth="1"/>
    <col min="3" max="3" width="14.69140625" customWidth="1"/>
    <col min="4" max="5" width="12.69140625" customWidth="1"/>
  </cols>
  <sheetData>
    <row r="1" spans="1:5" ht="24" customHeight="1" x14ac:dyDescent="0.5">
      <c r="A1" s="28" t="s">
        <v>54</v>
      </c>
      <c r="B1" s="3"/>
      <c r="C1" s="3"/>
      <c r="D1" s="3"/>
      <c r="E1" s="3"/>
    </row>
    <row r="2" spans="1:5" x14ac:dyDescent="0.4">
      <c r="A2" s="4" t="s">
        <v>55</v>
      </c>
      <c r="B2" s="29" t="s">
        <v>4</v>
      </c>
      <c r="C2" s="29"/>
      <c r="D2" s="29"/>
      <c r="E2" s="29"/>
    </row>
    <row r="3" spans="1:5" x14ac:dyDescent="0.4">
      <c r="A3" s="4" t="s">
        <v>56</v>
      </c>
      <c r="B3" s="29" t="s">
        <v>57</v>
      </c>
      <c r="C3" s="29"/>
      <c r="D3" s="29"/>
      <c r="E3" s="29"/>
    </row>
    <row r="4" spans="1:5" x14ac:dyDescent="0.4">
      <c r="A4" s="4" t="s">
        <v>58</v>
      </c>
      <c r="B4" s="29" t="s">
        <v>59</v>
      </c>
      <c r="C4" s="29"/>
      <c r="D4" s="29"/>
      <c r="E4" s="29"/>
    </row>
    <row r="5" spans="1:5" x14ac:dyDescent="0.4">
      <c r="A5" s="4" t="s">
        <v>60</v>
      </c>
      <c r="B5" s="29" t="s">
        <v>19</v>
      </c>
      <c r="C5" s="29"/>
      <c r="D5" s="29"/>
      <c r="E5" s="29"/>
    </row>
    <row r="6" spans="1:5" x14ac:dyDescent="0.4">
      <c r="A6" s="4" t="s">
        <v>61</v>
      </c>
      <c r="B6" s="29" t="s">
        <v>62</v>
      </c>
      <c r="C6" s="29"/>
      <c r="D6" s="29"/>
      <c r="E6" s="29"/>
    </row>
    <row r="7" spans="1:5" x14ac:dyDescent="0.4">
      <c r="A7" s="4" t="s">
        <v>63</v>
      </c>
      <c r="B7" s="29" t="s">
        <v>64</v>
      </c>
      <c r="C7" s="29"/>
      <c r="D7" s="29"/>
      <c r="E7" s="29"/>
    </row>
    <row r="8" spans="1:5" x14ac:dyDescent="0.4">
      <c r="A8" s="4" t="s">
        <v>65</v>
      </c>
      <c r="B8" s="29" t="s">
        <v>66</v>
      </c>
      <c r="C8" s="29"/>
      <c r="D8" s="29"/>
      <c r="E8" s="29"/>
    </row>
    <row r="9" spans="1:5" x14ac:dyDescent="0.4">
      <c r="A9" s="4" t="s">
        <v>67</v>
      </c>
      <c r="B9" s="29" t="s">
        <v>68</v>
      </c>
      <c r="C9" s="29"/>
      <c r="D9" s="29"/>
      <c r="E9" s="29"/>
    </row>
    <row r="11" spans="1:5" x14ac:dyDescent="0.4">
      <c r="A11" s="30" t="s">
        <v>69</v>
      </c>
      <c r="B11" s="3"/>
      <c r="C11" s="3"/>
      <c r="D11" s="3"/>
      <c r="E11" s="3"/>
    </row>
    <row r="12" spans="1:5" x14ac:dyDescent="0.4">
      <c r="A12" s="31" t="s">
        <v>12</v>
      </c>
      <c r="B12" s="31" t="s">
        <v>7</v>
      </c>
      <c r="C12" s="31" t="s">
        <v>70</v>
      </c>
    </row>
    <row r="13" spans="1:5" x14ac:dyDescent="0.4">
      <c r="A13" s="13" t="s">
        <v>18</v>
      </c>
      <c r="B13" s="11">
        <v>905.4</v>
      </c>
      <c r="C13" s="10">
        <v>4</v>
      </c>
    </row>
    <row r="14" spans="1:5" x14ac:dyDescent="0.4">
      <c r="A14" s="32" t="s">
        <v>27</v>
      </c>
      <c r="B14" s="33">
        <v>468.21</v>
      </c>
      <c r="C14" s="34">
        <v>1</v>
      </c>
    </row>
    <row r="15" spans="1:5" x14ac:dyDescent="0.4">
      <c r="A15" s="13" t="s">
        <v>39</v>
      </c>
      <c r="B15" s="11">
        <v>615.26</v>
      </c>
      <c r="C15" s="10">
        <v>2</v>
      </c>
    </row>
    <row r="16" spans="1:5" x14ac:dyDescent="0.4">
      <c r="A16" s="32" t="s">
        <v>41</v>
      </c>
      <c r="B16" s="33">
        <v>259.83</v>
      </c>
      <c r="C16" s="34">
        <v>2</v>
      </c>
    </row>
    <row r="17" spans="1:5" x14ac:dyDescent="0.4">
      <c r="A17" s="13" t="s">
        <v>43</v>
      </c>
      <c r="B17" s="11">
        <v>110.94</v>
      </c>
      <c r="C17" s="10">
        <v>2</v>
      </c>
    </row>
    <row r="18" spans="1:5" x14ac:dyDescent="0.4">
      <c r="A18" s="32" t="s">
        <v>29</v>
      </c>
      <c r="B18" s="33">
        <v>24.88</v>
      </c>
      <c r="C18" s="34">
        <v>2</v>
      </c>
    </row>
    <row r="19" spans="1:5" x14ac:dyDescent="0.4">
      <c r="A19" s="13" t="s">
        <v>45</v>
      </c>
      <c r="B19" s="11">
        <v>23.6</v>
      </c>
      <c r="C19" s="10">
        <v>2</v>
      </c>
    </row>
    <row r="20" spans="1:5" x14ac:dyDescent="0.4">
      <c r="A20" s="32" t="s">
        <v>32</v>
      </c>
      <c r="B20" s="33">
        <v>33.020000000000003</v>
      </c>
      <c r="C20" s="34">
        <v>2</v>
      </c>
    </row>
    <row r="21" spans="1:5" x14ac:dyDescent="0.4">
      <c r="A21" s="13" t="s">
        <v>34</v>
      </c>
      <c r="B21" s="11">
        <v>34.5</v>
      </c>
      <c r="C21" s="10">
        <v>1</v>
      </c>
    </row>
    <row r="22" spans="1:5" x14ac:dyDescent="0.4">
      <c r="A22" s="32" t="s">
        <v>49</v>
      </c>
      <c r="B22" s="33">
        <v>4.96</v>
      </c>
      <c r="C22" s="34">
        <v>1</v>
      </c>
    </row>
    <row r="23" spans="1:5" x14ac:dyDescent="0.4">
      <c r="A23" s="26" t="s">
        <v>71</v>
      </c>
      <c r="B23" s="27">
        <f>SUM(B13:B22)</f>
        <v>2480.6</v>
      </c>
      <c r="C23" s="25"/>
    </row>
    <row r="25" spans="1:5" x14ac:dyDescent="0.4">
      <c r="A25" s="30" t="s">
        <v>72</v>
      </c>
      <c r="B25" s="3"/>
      <c r="C25" s="3"/>
      <c r="D25" s="3"/>
      <c r="E25" s="3"/>
    </row>
    <row r="26" spans="1:5" x14ac:dyDescent="0.4">
      <c r="A26" s="31" t="s">
        <v>73</v>
      </c>
      <c r="B26" s="31" t="s">
        <v>74</v>
      </c>
      <c r="C26" s="31" t="s">
        <v>7</v>
      </c>
    </row>
    <row r="27" spans="1:5" x14ac:dyDescent="0.4">
      <c r="A27" s="14" t="s">
        <v>75</v>
      </c>
      <c r="B27" s="13" t="s">
        <v>76</v>
      </c>
      <c r="C27" s="11">
        <v>2080.83</v>
      </c>
    </row>
    <row r="28" spans="1:5" x14ac:dyDescent="0.4">
      <c r="A28" s="35" t="s">
        <v>77</v>
      </c>
      <c r="B28" s="32" t="s">
        <v>78</v>
      </c>
      <c r="C28" s="33">
        <v>311.8</v>
      </c>
    </row>
    <row r="29" spans="1:5" x14ac:dyDescent="0.4">
      <c r="A29" s="14" t="s">
        <v>79</v>
      </c>
      <c r="B29" s="13" t="s">
        <v>80</v>
      </c>
      <c r="C29" s="11">
        <v>19.850000000000001</v>
      </c>
    </row>
    <row r="30" spans="1:5" x14ac:dyDescent="0.4">
      <c r="A30" s="35" t="s">
        <v>81</v>
      </c>
      <c r="B30" s="32" t="s">
        <v>82</v>
      </c>
      <c r="C30" s="33">
        <v>33.619999999999997</v>
      </c>
    </row>
    <row r="31" spans="1:5" x14ac:dyDescent="0.4">
      <c r="A31" s="14" t="s">
        <v>83</v>
      </c>
      <c r="B31" s="13" t="s">
        <v>84</v>
      </c>
      <c r="C31" s="11">
        <v>34.5</v>
      </c>
    </row>
    <row r="32" spans="1:5" x14ac:dyDescent="0.4">
      <c r="A32" s="26" t="s">
        <v>53</v>
      </c>
      <c r="B32" s="25"/>
      <c r="C32" s="27">
        <f>SUM(C27:C31)</f>
        <v>2480.6</v>
      </c>
    </row>
    <row r="34" spans="1:5" x14ac:dyDescent="0.4">
      <c r="A34" s="36" t="s">
        <v>85</v>
      </c>
      <c r="B34" s="3"/>
      <c r="C34" s="3"/>
      <c r="D34" s="3"/>
      <c r="E34" s="3"/>
    </row>
    <row r="35" spans="1:5" x14ac:dyDescent="0.4">
      <c r="A35" s="1" t="s">
        <v>86</v>
      </c>
      <c r="B35" s="1"/>
      <c r="C35" s="1"/>
      <c r="D35" s="1"/>
      <c r="E35" s="1"/>
    </row>
    <row r="36" spans="1:5" x14ac:dyDescent="0.4">
      <c r="A36" s="1" t="s">
        <v>87</v>
      </c>
      <c r="B36" s="1"/>
      <c r="C36" s="1"/>
      <c r="D36" s="1"/>
      <c r="E36" s="1"/>
    </row>
    <row r="37" spans="1:5" x14ac:dyDescent="0.4">
      <c r="A37" s="1" t="s">
        <v>88</v>
      </c>
      <c r="B37" s="1"/>
      <c r="C37" s="1"/>
      <c r="D37" s="1"/>
      <c r="E37" s="1"/>
    </row>
  </sheetData>
  <mergeCells count="15">
    <mergeCell ref="A35:E35"/>
    <mergeCell ref="A36:E36"/>
    <mergeCell ref="A37:E37"/>
    <mergeCell ref="B7:E7"/>
    <mergeCell ref="B8:E8"/>
    <mergeCell ref="B9:E9"/>
    <mergeCell ref="A11:E11"/>
    <mergeCell ref="A25:E25"/>
    <mergeCell ref="A34:E34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4207-5B4D-42B3-9328-76414D9B2897}">
  <sheetPr>
    <tabColor rgb="FFB6752E"/>
  </sheetPr>
  <dimension ref="A1:L34"/>
  <sheetViews>
    <sheetView workbookViewId="0">
      <pane ySplit="4" topLeftCell="A5" activePane="bottomLeft" state="frozen"/>
      <selection pane="bottomLeft" activeCell="A5" sqref="A5:XFD5"/>
    </sheetView>
  </sheetViews>
  <sheetFormatPr defaultRowHeight="14.6" x14ac:dyDescent="0.4"/>
  <cols>
    <col min="1" max="1" width="10.69140625" customWidth="1"/>
    <col min="2" max="2" width="6.69140625" customWidth="1"/>
    <col min="3" max="3" width="10.69140625" customWidth="1"/>
    <col min="4" max="4" width="9.69140625" customWidth="1"/>
    <col min="5" max="5" width="11.69140625" customWidth="1"/>
    <col min="6" max="6" width="10.69140625" customWidth="1"/>
    <col min="7" max="7" width="44.69140625" customWidth="1"/>
    <col min="8" max="8" width="12.69140625" customWidth="1"/>
    <col min="9" max="9" width="22.69140625" customWidth="1"/>
    <col min="10" max="10" width="10.69140625" customWidth="1"/>
    <col min="11" max="11" width="3.69140625" customWidth="1"/>
    <col min="12" max="12" width="20.69140625" customWidth="1"/>
  </cols>
  <sheetData>
    <row r="1" spans="1:12" ht="22" customHeight="1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4">
      <c r="A2" s="4" t="s">
        <v>1</v>
      </c>
      <c r="B2" s="5">
        <v>46236</v>
      </c>
      <c r="D2" s="4" t="s">
        <v>2</v>
      </c>
      <c r="E2" s="5">
        <v>46243</v>
      </c>
      <c r="G2" s="4" t="s">
        <v>3</v>
      </c>
      <c r="H2" s="6" t="s">
        <v>4</v>
      </c>
    </row>
    <row r="4" spans="1:12" ht="28" customHeight="1" x14ac:dyDescent="0.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8"/>
      <c r="L4" s="7" t="s">
        <v>15</v>
      </c>
    </row>
    <row r="5" spans="1:12" x14ac:dyDescent="0.4">
      <c r="A5" s="9">
        <v>46236</v>
      </c>
      <c r="B5" s="10" t="str">
        <f>TEXT(A5,"ddd")</f>
        <v>Sun</v>
      </c>
      <c r="C5" s="11">
        <v>272.10000000000002</v>
      </c>
      <c r="D5" s="12">
        <v>1</v>
      </c>
      <c r="E5" s="11">
        <f>C5*D5</f>
        <v>272.10000000000002</v>
      </c>
      <c r="F5" s="10" t="s">
        <v>16</v>
      </c>
      <c r="G5" s="13" t="s">
        <v>17</v>
      </c>
      <c r="H5" s="10" t="s">
        <v>18</v>
      </c>
      <c r="I5" s="13" t="s">
        <v>19</v>
      </c>
      <c r="J5" s="14" t="s">
        <v>20</v>
      </c>
      <c r="K5" s="13"/>
      <c r="L5" s="13" t="s">
        <v>21</v>
      </c>
    </row>
    <row r="6" spans="1:12" x14ac:dyDescent="0.4">
      <c r="A6" s="15">
        <v>46236</v>
      </c>
      <c r="B6" s="16" t="str">
        <f>TEXT(A6,"ddd")</f>
        <v>Sun</v>
      </c>
      <c r="C6" s="17">
        <v>39.700000000000003</v>
      </c>
      <c r="D6" s="18">
        <v>1</v>
      </c>
      <c r="E6" s="17">
        <f>C6*D6</f>
        <v>39.700000000000003</v>
      </c>
      <c r="F6" s="16" t="s">
        <v>16</v>
      </c>
      <c r="G6" s="19" t="s">
        <v>17</v>
      </c>
      <c r="H6" s="16" t="s">
        <v>18</v>
      </c>
      <c r="I6" s="19" t="s">
        <v>19</v>
      </c>
      <c r="J6" s="20" t="s">
        <v>20</v>
      </c>
      <c r="K6" s="13"/>
      <c r="L6" s="19" t="s">
        <v>22</v>
      </c>
    </row>
    <row r="7" spans="1:12" x14ac:dyDescent="0.4">
      <c r="A7" s="9">
        <v>46236</v>
      </c>
      <c r="B7" s="10" t="str">
        <f>TEXT(A7,"ddd")</f>
        <v>Sun</v>
      </c>
      <c r="C7" s="11">
        <v>146.4</v>
      </c>
      <c r="D7" s="12">
        <v>1</v>
      </c>
      <c r="E7" s="11">
        <f>C7*D7</f>
        <v>146.4</v>
      </c>
      <c r="F7" s="10" t="s">
        <v>16</v>
      </c>
      <c r="G7" s="13" t="s">
        <v>23</v>
      </c>
      <c r="H7" s="10" t="s">
        <v>18</v>
      </c>
      <c r="I7" s="13" t="s">
        <v>19</v>
      </c>
      <c r="J7" s="14" t="s">
        <v>20</v>
      </c>
      <c r="K7" s="13"/>
      <c r="L7" s="13" t="s">
        <v>24</v>
      </c>
    </row>
    <row r="8" spans="1:12" x14ac:dyDescent="0.4">
      <c r="A8" s="15">
        <v>46236</v>
      </c>
      <c r="B8" s="16" t="str">
        <f>TEXT(A8,"ddd")</f>
        <v>Sun</v>
      </c>
      <c r="C8" s="17">
        <v>447.2</v>
      </c>
      <c r="D8" s="18">
        <v>1</v>
      </c>
      <c r="E8" s="17">
        <f>C8*D8</f>
        <v>447.2</v>
      </c>
      <c r="F8" s="16" t="s">
        <v>16</v>
      </c>
      <c r="G8" s="19" t="s">
        <v>25</v>
      </c>
      <c r="H8" s="16" t="s">
        <v>18</v>
      </c>
      <c r="I8" s="19" t="s">
        <v>19</v>
      </c>
      <c r="J8" s="20" t="s">
        <v>20</v>
      </c>
      <c r="K8" s="13"/>
      <c r="L8" s="19" t="s">
        <v>24</v>
      </c>
    </row>
    <row r="9" spans="1:12" x14ac:dyDescent="0.4">
      <c r="A9" s="9">
        <v>46236</v>
      </c>
      <c r="B9" s="10" t="str">
        <f>TEXT(A9,"ddd")</f>
        <v>Sun</v>
      </c>
      <c r="C9" s="11">
        <v>468.21</v>
      </c>
      <c r="D9" s="12">
        <v>1</v>
      </c>
      <c r="E9" s="11">
        <f>C9*D9</f>
        <v>468.21</v>
      </c>
      <c r="F9" s="10" t="s">
        <v>16</v>
      </c>
      <c r="G9" s="13" t="s">
        <v>26</v>
      </c>
      <c r="H9" s="10" t="s">
        <v>27</v>
      </c>
      <c r="I9" s="13" t="s">
        <v>19</v>
      </c>
      <c r="J9" s="14" t="s">
        <v>20</v>
      </c>
      <c r="K9" s="13"/>
      <c r="L9" s="13" t="s">
        <v>24</v>
      </c>
    </row>
    <row r="10" spans="1:12" x14ac:dyDescent="0.4">
      <c r="A10" s="15">
        <v>46236</v>
      </c>
      <c r="B10" s="16" t="str">
        <f>TEXT(A10,"ddd")</f>
        <v>Sun</v>
      </c>
      <c r="C10" s="17">
        <v>12.25</v>
      </c>
      <c r="D10" s="18">
        <v>1</v>
      </c>
      <c r="E10" s="17">
        <f>C10*D10</f>
        <v>12.25</v>
      </c>
      <c r="F10" s="16" t="s">
        <v>16</v>
      </c>
      <c r="G10" s="19" t="s">
        <v>28</v>
      </c>
      <c r="H10" s="16" t="s">
        <v>29</v>
      </c>
      <c r="I10" s="19" t="s">
        <v>19</v>
      </c>
      <c r="J10" s="20" t="s">
        <v>20</v>
      </c>
      <c r="K10" s="13"/>
      <c r="L10" s="19" t="s">
        <v>30</v>
      </c>
    </row>
    <row r="11" spans="1:12" x14ac:dyDescent="0.4">
      <c r="A11" s="9">
        <v>46236</v>
      </c>
      <c r="B11" s="10" t="str">
        <f>TEXT(A11,"ddd")</f>
        <v>Sun</v>
      </c>
      <c r="C11" s="11">
        <v>3.74</v>
      </c>
      <c r="D11" s="12">
        <v>1</v>
      </c>
      <c r="E11" s="11">
        <f>C11*D11</f>
        <v>3.74</v>
      </c>
      <c r="F11" s="10" t="s">
        <v>16</v>
      </c>
      <c r="G11" s="13" t="s">
        <v>31</v>
      </c>
      <c r="H11" s="10" t="s">
        <v>32</v>
      </c>
      <c r="I11" s="13" t="s">
        <v>19</v>
      </c>
      <c r="J11" s="14" t="s">
        <v>20</v>
      </c>
      <c r="K11" s="13"/>
      <c r="L11" s="13" t="s">
        <v>24</v>
      </c>
    </row>
    <row r="12" spans="1:12" x14ac:dyDescent="0.4">
      <c r="A12" s="15">
        <v>46237</v>
      </c>
      <c r="B12" s="16" t="str">
        <f>TEXT(A12,"ddd")</f>
        <v>Mon</v>
      </c>
      <c r="C12" s="17">
        <v>34.5</v>
      </c>
      <c r="D12" s="18">
        <v>1</v>
      </c>
      <c r="E12" s="17">
        <f>C12*D12</f>
        <v>34.5</v>
      </c>
      <c r="F12" s="16" t="s">
        <v>16</v>
      </c>
      <c r="G12" s="19" t="s">
        <v>33</v>
      </c>
      <c r="H12" s="16" t="s">
        <v>34</v>
      </c>
      <c r="I12" s="19" t="s">
        <v>19</v>
      </c>
      <c r="J12" s="20" t="s">
        <v>20</v>
      </c>
      <c r="K12" s="13"/>
      <c r="L12" s="19" t="s">
        <v>35</v>
      </c>
    </row>
    <row r="13" spans="1:12" x14ac:dyDescent="0.4">
      <c r="A13" s="9">
        <v>46241</v>
      </c>
      <c r="B13" s="10" t="str">
        <f>TEXT(A13,"ddd")</f>
        <v>Fri</v>
      </c>
      <c r="C13" s="11">
        <v>12.63</v>
      </c>
      <c r="D13" s="12">
        <v>1</v>
      </c>
      <c r="E13" s="11">
        <f>C13*D13</f>
        <v>12.63</v>
      </c>
      <c r="F13" s="10" t="s">
        <v>16</v>
      </c>
      <c r="G13" s="13" t="s">
        <v>36</v>
      </c>
      <c r="H13" s="10" t="s">
        <v>29</v>
      </c>
      <c r="I13" s="13" t="s">
        <v>19</v>
      </c>
      <c r="J13" s="14" t="s">
        <v>20</v>
      </c>
      <c r="K13" s="13"/>
      <c r="L13" s="13" t="s">
        <v>24</v>
      </c>
    </row>
    <row r="14" spans="1:12" x14ac:dyDescent="0.4">
      <c r="A14" s="15">
        <v>46241</v>
      </c>
      <c r="B14" s="16" t="str">
        <f>TEXT(A14,"ddd")</f>
        <v>Fri</v>
      </c>
      <c r="C14" s="17">
        <v>29.28</v>
      </c>
      <c r="D14" s="18">
        <v>1</v>
      </c>
      <c r="E14" s="17">
        <f>C14*D14</f>
        <v>29.28</v>
      </c>
      <c r="F14" s="16" t="s">
        <v>16</v>
      </c>
      <c r="G14" s="19" t="s">
        <v>37</v>
      </c>
      <c r="H14" s="16" t="s">
        <v>32</v>
      </c>
      <c r="I14" s="19" t="s">
        <v>19</v>
      </c>
      <c r="J14" s="20" t="s">
        <v>20</v>
      </c>
      <c r="K14" s="13"/>
      <c r="L14" s="19" t="s">
        <v>24</v>
      </c>
    </row>
    <row r="15" spans="1:12" x14ac:dyDescent="0.4">
      <c r="A15" s="9">
        <v>46241</v>
      </c>
      <c r="B15" s="10" t="str">
        <f>TEXT(A15,"ddd")</f>
        <v>Fri</v>
      </c>
      <c r="C15" s="11">
        <v>512</v>
      </c>
      <c r="D15" s="12">
        <v>1</v>
      </c>
      <c r="E15" s="11">
        <f>C15*D15</f>
        <v>512</v>
      </c>
      <c r="F15" s="10" t="s">
        <v>16</v>
      </c>
      <c r="G15" s="13" t="s">
        <v>38</v>
      </c>
      <c r="H15" s="10" t="s">
        <v>39</v>
      </c>
      <c r="I15" s="13" t="s">
        <v>19</v>
      </c>
      <c r="J15" s="14" t="s">
        <v>20</v>
      </c>
      <c r="K15" s="13"/>
      <c r="L15" s="13" t="s">
        <v>24</v>
      </c>
    </row>
    <row r="16" spans="1:12" x14ac:dyDescent="0.4">
      <c r="A16" s="15">
        <v>46241</v>
      </c>
      <c r="B16" s="16" t="str">
        <f>TEXT(A16,"ddd")</f>
        <v>Fri</v>
      </c>
      <c r="C16" s="17">
        <v>129.13999999999999</v>
      </c>
      <c r="D16" s="18">
        <v>1</v>
      </c>
      <c r="E16" s="17">
        <f>C16*D16</f>
        <v>129.13999999999999</v>
      </c>
      <c r="F16" s="16" t="s">
        <v>16</v>
      </c>
      <c r="G16" s="19" t="s">
        <v>40</v>
      </c>
      <c r="H16" s="16" t="s">
        <v>41</v>
      </c>
      <c r="I16" s="19" t="s">
        <v>19</v>
      </c>
      <c r="J16" s="20" t="s">
        <v>20</v>
      </c>
      <c r="K16" s="13"/>
      <c r="L16" s="19" t="s">
        <v>24</v>
      </c>
    </row>
    <row r="17" spans="1:12" x14ac:dyDescent="0.4">
      <c r="A17" s="9">
        <v>46241</v>
      </c>
      <c r="B17" s="10" t="str">
        <f>TEXT(A17,"ddd")</f>
        <v>Fri</v>
      </c>
      <c r="C17" s="11">
        <v>77.319999999999993</v>
      </c>
      <c r="D17" s="12">
        <v>1</v>
      </c>
      <c r="E17" s="11">
        <f>C17*D17</f>
        <v>77.319999999999993</v>
      </c>
      <c r="F17" s="10" t="s">
        <v>16</v>
      </c>
      <c r="G17" s="13" t="s">
        <v>42</v>
      </c>
      <c r="H17" s="10" t="s">
        <v>43</v>
      </c>
      <c r="I17" s="13" t="s">
        <v>19</v>
      </c>
      <c r="J17" s="14" t="s">
        <v>20</v>
      </c>
      <c r="K17" s="13"/>
      <c r="L17" s="13" t="s">
        <v>24</v>
      </c>
    </row>
    <row r="18" spans="1:12" x14ac:dyDescent="0.4">
      <c r="A18" s="15">
        <v>46242</v>
      </c>
      <c r="B18" s="16" t="str">
        <f>TEXT(A18,"ddd")</f>
        <v>Sat</v>
      </c>
      <c r="C18" s="17">
        <v>7.6</v>
      </c>
      <c r="D18" s="18">
        <v>1</v>
      </c>
      <c r="E18" s="17">
        <f>C18*D18</f>
        <v>7.6</v>
      </c>
      <c r="F18" s="16" t="s">
        <v>16</v>
      </c>
      <c r="G18" s="19" t="s">
        <v>44</v>
      </c>
      <c r="H18" s="16" t="s">
        <v>45</v>
      </c>
      <c r="I18" s="19" t="s">
        <v>19</v>
      </c>
      <c r="J18" s="20" t="s">
        <v>20</v>
      </c>
      <c r="K18" s="13"/>
      <c r="L18" s="19" t="s">
        <v>30</v>
      </c>
    </row>
    <row r="19" spans="1:12" x14ac:dyDescent="0.4">
      <c r="A19" s="9">
        <v>46242</v>
      </c>
      <c r="B19" s="10" t="str">
        <f>TEXT(A19,"ddd")</f>
        <v>Sat</v>
      </c>
      <c r="C19" s="11">
        <v>33.619999999999997</v>
      </c>
      <c r="D19" s="12">
        <v>1</v>
      </c>
      <c r="E19" s="11">
        <f>C19*D19</f>
        <v>33.619999999999997</v>
      </c>
      <c r="F19" s="10" t="s">
        <v>16</v>
      </c>
      <c r="G19" s="13" t="s">
        <v>46</v>
      </c>
      <c r="H19" s="10" t="s">
        <v>43</v>
      </c>
      <c r="I19" s="13" t="s">
        <v>19</v>
      </c>
      <c r="J19" s="14" t="s">
        <v>20</v>
      </c>
      <c r="K19" s="13"/>
      <c r="L19" s="13" t="s">
        <v>47</v>
      </c>
    </row>
    <row r="20" spans="1:12" x14ac:dyDescent="0.4">
      <c r="A20" s="15">
        <v>46242</v>
      </c>
      <c r="B20" s="16" t="str">
        <f>TEXT(A20,"ddd")</f>
        <v>Sat</v>
      </c>
      <c r="C20" s="17">
        <v>4.96</v>
      </c>
      <c r="D20" s="18">
        <v>1</v>
      </c>
      <c r="E20" s="17">
        <f>C20*D20</f>
        <v>4.96</v>
      </c>
      <c r="F20" s="16" t="s">
        <v>16</v>
      </c>
      <c r="G20" s="19" t="s">
        <v>48</v>
      </c>
      <c r="H20" s="16" t="s">
        <v>49</v>
      </c>
      <c r="I20" s="19" t="s">
        <v>19</v>
      </c>
      <c r="J20" s="20" t="s">
        <v>20</v>
      </c>
      <c r="K20" s="13"/>
      <c r="L20" s="19" t="s">
        <v>24</v>
      </c>
    </row>
    <row r="21" spans="1:12" x14ac:dyDescent="0.4">
      <c r="A21" s="9">
        <v>46243</v>
      </c>
      <c r="B21" s="10" t="str">
        <f>TEXT(A21,"ddd")</f>
        <v>Sun</v>
      </c>
      <c r="C21" s="11">
        <v>130.69</v>
      </c>
      <c r="D21" s="12">
        <v>1</v>
      </c>
      <c r="E21" s="11">
        <f>C21*D21</f>
        <v>130.69</v>
      </c>
      <c r="F21" s="10" t="s">
        <v>16</v>
      </c>
      <c r="G21" s="13" t="s">
        <v>50</v>
      </c>
      <c r="H21" s="10" t="s">
        <v>41</v>
      </c>
      <c r="I21" s="13" t="s">
        <v>19</v>
      </c>
      <c r="J21" s="14" t="s">
        <v>20</v>
      </c>
      <c r="K21" s="13"/>
      <c r="L21" s="13" t="s">
        <v>24</v>
      </c>
    </row>
    <row r="22" spans="1:12" x14ac:dyDescent="0.4">
      <c r="A22" s="15">
        <v>46243</v>
      </c>
      <c r="B22" s="16" t="str">
        <f>TEXT(A22,"ddd")</f>
        <v>Sun</v>
      </c>
      <c r="C22" s="17">
        <v>103.26</v>
      </c>
      <c r="D22" s="18">
        <v>1</v>
      </c>
      <c r="E22" s="17">
        <f>C22*D22</f>
        <v>103.26</v>
      </c>
      <c r="F22" s="16" t="s">
        <v>16</v>
      </c>
      <c r="G22" s="19" t="s">
        <v>51</v>
      </c>
      <c r="H22" s="16" t="s">
        <v>39</v>
      </c>
      <c r="I22" s="19" t="s">
        <v>19</v>
      </c>
      <c r="J22" s="20" t="s">
        <v>20</v>
      </c>
      <c r="K22" s="13"/>
      <c r="L22" s="19" t="s">
        <v>24</v>
      </c>
    </row>
    <row r="23" spans="1:12" x14ac:dyDescent="0.4">
      <c r="A23" s="9">
        <v>46243</v>
      </c>
      <c r="B23" s="10" t="str">
        <f>TEXT(A23,"ddd")</f>
        <v>Sun</v>
      </c>
      <c r="C23" s="11">
        <v>16</v>
      </c>
      <c r="D23" s="12">
        <v>1</v>
      </c>
      <c r="E23" s="11">
        <f>C23*D23</f>
        <v>16</v>
      </c>
      <c r="F23" s="10" t="s">
        <v>16</v>
      </c>
      <c r="G23" s="13" t="s">
        <v>52</v>
      </c>
      <c r="H23" s="10" t="s">
        <v>45</v>
      </c>
      <c r="I23" s="13" t="s">
        <v>19</v>
      </c>
      <c r="J23" s="14" t="s">
        <v>20</v>
      </c>
      <c r="K23" s="13"/>
      <c r="L23" s="13" t="s">
        <v>24</v>
      </c>
    </row>
    <row r="24" spans="1:12" x14ac:dyDescent="0.4">
      <c r="A24" s="15"/>
      <c r="B24" s="16" t="str">
        <f>IF(A24="","",TEXT(A24,"ddd"))</f>
        <v/>
      </c>
      <c r="C24" s="21"/>
      <c r="D24" s="18">
        <v>1</v>
      </c>
      <c r="E24" s="17">
        <f>C24*D24</f>
        <v>0</v>
      </c>
      <c r="F24" s="19"/>
      <c r="G24" s="19"/>
      <c r="H24" s="19"/>
      <c r="I24" s="19"/>
      <c r="J24" s="22"/>
      <c r="K24" s="13"/>
      <c r="L24" s="19"/>
    </row>
    <row r="25" spans="1:12" x14ac:dyDescent="0.4">
      <c r="A25" s="9"/>
      <c r="B25" s="10" t="str">
        <f>IF(A25="","",TEXT(A25,"ddd"))</f>
        <v/>
      </c>
      <c r="C25" s="23"/>
      <c r="D25" s="12">
        <v>1</v>
      </c>
      <c r="E25" s="11">
        <f>C25*D25</f>
        <v>0</v>
      </c>
      <c r="F25" s="13"/>
      <c r="G25" s="13"/>
      <c r="H25" s="13"/>
      <c r="I25" s="13"/>
      <c r="J25" s="24"/>
      <c r="K25" s="13"/>
      <c r="L25" s="13"/>
    </row>
    <row r="26" spans="1:12" x14ac:dyDescent="0.4">
      <c r="A26" s="15"/>
      <c r="B26" s="16" t="str">
        <f>IF(A26="","",TEXT(A26,"ddd"))</f>
        <v/>
      </c>
      <c r="C26" s="21"/>
      <c r="D26" s="18">
        <v>1</v>
      </c>
      <c r="E26" s="17">
        <f>C26*D26</f>
        <v>0</v>
      </c>
      <c r="F26" s="19"/>
      <c r="G26" s="19"/>
      <c r="H26" s="19"/>
      <c r="I26" s="19"/>
      <c r="J26" s="22"/>
      <c r="K26" s="13"/>
      <c r="L26" s="19"/>
    </row>
    <row r="27" spans="1:12" x14ac:dyDescent="0.4">
      <c r="A27" s="9"/>
      <c r="B27" s="10" t="str">
        <f>IF(A27="","",TEXT(A27,"ddd"))</f>
        <v/>
      </c>
      <c r="C27" s="23"/>
      <c r="D27" s="12">
        <v>1</v>
      </c>
      <c r="E27" s="11">
        <f>C27*D27</f>
        <v>0</v>
      </c>
      <c r="F27" s="13"/>
      <c r="G27" s="13"/>
      <c r="H27" s="13"/>
      <c r="I27" s="13"/>
      <c r="J27" s="24"/>
      <c r="K27" s="13"/>
      <c r="L27" s="13"/>
    </row>
    <row r="28" spans="1:12" x14ac:dyDescent="0.4">
      <c r="A28" s="15"/>
      <c r="B28" s="16" t="str">
        <f>IF(A28="","",TEXT(A28,"ddd"))</f>
        <v/>
      </c>
      <c r="C28" s="21"/>
      <c r="D28" s="18">
        <v>1</v>
      </c>
      <c r="E28" s="17">
        <f>C28*D28</f>
        <v>0</v>
      </c>
      <c r="F28" s="19"/>
      <c r="G28" s="19"/>
      <c r="H28" s="19"/>
      <c r="I28" s="19"/>
      <c r="J28" s="22"/>
      <c r="K28" s="13"/>
      <c r="L28" s="19"/>
    </row>
    <row r="29" spans="1:12" x14ac:dyDescent="0.4">
      <c r="A29" s="9"/>
      <c r="B29" s="10" t="str">
        <f>IF(A29="","",TEXT(A29,"ddd"))</f>
        <v/>
      </c>
      <c r="C29" s="23"/>
      <c r="D29" s="12">
        <v>1</v>
      </c>
      <c r="E29" s="11">
        <f>C29*D29</f>
        <v>0</v>
      </c>
      <c r="F29" s="13"/>
      <c r="G29" s="13"/>
      <c r="H29" s="13"/>
      <c r="I29" s="13"/>
      <c r="J29" s="24"/>
      <c r="K29" s="13"/>
      <c r="L29" s="13"/>
    </row>
    <row r="30" spans="1:12" x14ac:dyDescent="0.4">
      <c r="A30" s="15"/>
      <c r="B30" s="16" t="str">
        <f>IF(A30="","",TEXT(A30,"ddd"))</f>
        <v/>
      </c>
      <c r="C30" s="21"/>
      <c r="D30" s="18">
        <v>1</v>
      </c>
      <c r="E30" s="17">
        <f>C30*D30</f>
        <v>0</v>
      </c>
      <c r="F30" s="19"/>
      <c r="G30" s="19"/>
      <c r="H30" s="19"/>
      <c r="I30" s="19"/>
      <c r="J30" s="22"/>
      <c r="K30" s="13"/>
      <c r="L30" s="19"/>
    </row>
    <row r="31" spans="1:12" x14ac:dyDescent="0.4">
      <c r="A31" s="9"/>
      <c r="B31" s="10" t="str">
        <f>IF(A31="","",TEXT(A31,"ddd"))</f>
        <v/>
      </c>
      <c r="C31" s="23"/>
      <c r="D31" s="12">
        <v>1</v>
      </c>
      <c r="E31" s="11">
        <f>C31*D31</f>
        <v>0</v>
      </c>
      <c r="F31" s="13"/>
      <c r="G31" s="13"/>
      <c r="H31" s="13"/>
      <c r="I31" s="13"/>
      <c r="J31" s="24"/>
      <c r="K31" s="13"/>
      <c r="L31" s="13"/>
    </row>
    <row r="32" spans="1:12" x14ac:dyDescent="0.4">
      <c r="A32" s="15"/>
      <c r="B32" s="16" t="str">
        <f>IF(A32="","",TEXT(A32,"ddd"))</f>
        <v/>
      </c>
      <c r="C32" s="21"/>
      <c r="D32" s="18">
        <v>1</v>
      </c>
      <c r="E32" s="17">
        <f>C32*D32</f>
        <v>0</v>
      </c>
      <c r="F32" s="19"/>
      <c r="G32" s="19"/>
      <c r="H32" s="19"/>
      <c r="I32" s="19"/>
      <c r="J32" s="22"/>
      <c r="K32" s="13"/>
      <c r="L32" s="19"/>
    </row>
    <row r="33" spans="1:12" x14ac:dyDescent="0.4">
      <c r="A33" s="9"/>
      <c r="B33" s="10" t="str">
        <f>IF(A33="","",TEXT(A33,"ddd"))</f>
        <v/>
      </c>
      <c r="C33" s="23"/>
      <c r="D33" s="12">
        <v>1</v>
      </c>
      <c r="E33" s="11">
        <f>C33*D33</f>
        <v>0</v>
      </c>
      <c r="F33" s="13"/>
      <c r="G33" s="13"/>
      <c r="H33" s="13"/>
      <c r="I33" s="13"/>
      <c r="J33" s="24"/>
      <c r="K33" s="13"/>
      <c r="L33" s="13"/>
    </row>
    <row r="34" spans="1:12" x14ac:dyDescent="0.4">
      <c r="A34" s="25"/>
      <c r="B34" s="25"/>
      <c r="C34" s="25"/>
      <c r="D34" s="26" t="s">
        <v>53</v>
      </c>
      <c r="E34" s="27">
        <f>SUM(E5:E33)</f>
        <v>2480.6000000000004</v>
      </c>
      <c r="F34" s="25"/>
      <c r="G34" s="25"/>
      <c r="H34" s="25"/>
      <c r="I34" s="25"/>
      <c r="J34" s="25"/>
      <c r="K34" s="25"/>
      <c r="L34" s="25"/>
    </row>
  </sheetData>
  <mergeCells count="1">
    <mergeCell ref="A1:L1"/>
  </mergeCells>
  <dataValidations count="2">
    <dataValidation type="list" allowBlank="1" showInputMessage="1" showErrorMessage="1" sqref="F5:F33" xr:uid="{C2D18644-9A7C-49B6-988A-EF8C6E1D1EF6}">
      <formula1>"UF,PERSONAL,OTHER"</formula1>
    </dataValidation>
    <dataValidation type="list" allowBlank="1" showInputMessage="1" showErrorMessage="1" sqref="H5:H33" xr:uid="{4B445555-14E1-4BAD-9E77-5BDEC98C5494}">
      <formula1>"Air Fare,Taxi/Train/Bus,Car Rental,Gas/Tolls,Parking,Hotel,Bkfst,Lunch,Dinner,Phone/Data,Computer,Other,Postage,Misc"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1A7B-A31B-458D-9579-F0014AB1728D}">
  <sheetPr>
    <tabColor rgb="FFF0E4D6"/>
  </sheetPr>
  <dimension ref="A1:A30"/>
  <sheetViews>
    <sheetView workbookViewId="0"/>
  </sheetViews>
  <sheetFormatPr defaultRowHeight="14.6" x14ac:dyDescent="0.4"/>
  <cols>
    <col min="1" max="1" width="100.69140625" customWidth="1"/>
  </cols>
  <sheetData>
    <row r="1" spans="1:1" x14ac:dyDescent="0.4">
      <c r="A1" s="4" t="s">
        <v>89</v>
      </c>
    </row>
    <row r="3" spans="1:1" x14ac:dyDescent="0.4">
      <c r="A3" t="s">
        <v>90</v>
      </c>
    </row>
    <row r="4" spans="1:1" x14ac:dyDescent="0.4">
      <c r="A4" t="s">
        <v>91</v>
      </c>
    </row>
    <row r="5" spans="1:1" x14ac:dyDescent="0.4">
      <c r="A5" t="s">
        <v>92</v>
      </c>
    </row>
    <row r="6" spans="1:1" x14ac:dyDescent="0.4">
      <c r="A6" t="s">
        <v>93</v>
      </c>
    </row>
    <row r="7" spans="1:1" x14ac:dyDescent="0.4">
      <c r="A7" t="s">
        <v>94</v>
      </c>
    </row>
    <row r="8" spans="1:1" x14ac:dyDescent="0.4">
      <c r="A8" t="s">
        <v>95</v>
      </c>
    </row>
    <row r="9" spans="1:1" x14ac:dyDescent="0.4">
      <c r="A9" t="s">
        <v>96</v>
      </c>
    </row>
    <row r="11" spans="1:1" x14ac:dyDescent="0.4">
      <c r="A11" t="s">
        <v>97</v>
      </c>
    </row>
    <row r="12" spans="1:1" x14ac:dyDescent="0.4">
      <c r="A12" t="s">
        <v>98</v>
      </c>
    </row>
    <row r="13" spans="1:1" x14ac:dyDescent="0.4">
      <c r="A13" t="s">
        <v>99</v>
      </c>
    </row>
    <row r="14" spans="1:1" x14ac:dyDescent="0.4">
      <c r="A14" t="s">
        <v>100</v>
      </c>
    </row>
    <row r="15" spans="1:1" x14ac:dyDescent="0.4">
      <c r="A15" t="s">
        <v>101</v>
      </c>
    </row>
    <row r="16" spans="1:1" x14ac:dyDescent="0.4">
      <c r="A16" t="s">
        <v>102</v>
      </c>
    </row>
    <row r="17" spans="1:1" x14ac:dyDescent="0.4">
      <c r="A17" t="s">
        <v>103</v>
      </c>
    </row>
    <row r="18" spans="1:1" x14ac:dyDescent="0.4">
      <c r="A18" t="s">
        <v>104</v>
      </c>
    </row>
    <row r="19" spans="1:1" x14ac:dyDescent="0.4">
      <c r="A19" t="s">
        <v>105</v>
      </c>
    </row>
    <row r="20" spans="1:1" x14ac:dyDescent="0.4">
      <c r="A20" t="s">
        <v>106</v>
      </c>
    </row>
    <row r="22" spans="1:1" x14ac:dyDescent="0.4">
      <c r="A22" t="s">
        <v>107</v>
      </c>
    </row>
    <row r="23" spans="1:1" x14ac:dyDescent="0.4">
      <c r="A23" t="s">
        <v>108</v>
      </c>
    </row>
    <row r="24" spans="1:1" x14ac:dyDescent="0.4">
      <c r="A24" t="s">
        <v>109</v>
      </c>
    </row>
    <row r="26" spans="1:1" x14ac:dyDescent="0.4">
      <c r="A26" t="s">
        <v>110</v>
      </c>
    </row>
    <row r="27" spans="1:1" x14ac:dyDescent="0.4">
      <c r="A27" t="s">
        <v>111</v>
      </c>
    </row>
    <row r="28" spans="1:1" x14ac:dyDescent="0.4">
      <c r="A28" t="s">
        <v>112</v>
      </c>
    </row>
    <row r="29" spans="1:1" x14ac:dyDescent="0.4">
      <c r="A29" t="s">
        <v>113</v>
      </c>
    </row>
    <row r="30" spans="1:1" x14ac:dyDescent="0.4">
      <c r="A3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ER Detail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Castellano</dc:creator>
  <cp:lastModifiedBy>Pete Castellano</cp:lastModifiedBy>
  <dcterms:created xsi:type="dcterms:W3CDTF">2026-08-16T05:48:00Z</dcterms:created>
  <dcterms:modified xsi:type="dcterms:W3CDTF">2026-08-16T05:48:05Z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b3df47-8411-4936-b9ba-bd7d0b6abe65_Enabled">
    <vt:lpwstr>true</vt:lpwstr>
  </property>
  <property fmtid="{D5CDD505-2E9C-101B-9397-08002B2CF9AE}" pid="3" name="MSIP_Label_25b3df47-8411-4936-b9ba-bd7d0b6abe65_SetDate">
    <vt:lpwstr>2026-08-16T05:48:05Z</vt:lpwstr>
  </property>
  <property fmtid="{D5CDD505-2E9C-101B-9397-08002B2CF9AE}" pid="4" name="MSIP_Label_25b3df47-8411-4936-b9ba-bd7d0b6abe65_Method">
    <vt:lpwstr>Standard</vt:lpwstr>
  </property>
  <property fmtid="{D5CDD505-2E9C-101B-9397-08002B2CF9AE}" pid="5" name="MSIP_Label_25b3df47-8411-4936-b9ba-bd7d0b6abe65_Name">
    <vt:lpwstr>Sensitive</vt:lpwstr>
  </property>
  <property fmtid="{D5CDD505-2E9C-101B-9397-08002B2CF9AE}" pid="6" name="MSIP_Label_25b3df47-8411-4936-b9ba-bd7d0b6abe65_SiteId">
    <vt:lpwstr>5d78c979-1c5b-4cb4-9ad2-0cbf360bc2d5</vt:lpwstr>
  </property>
  <property fmtid="{D5CDD505-2E9C-101B-9397-08002B2CF9AE}" pid="7" name="MSIP_Label_25b3df47-8411-4936-b9ba-bd7d0b6abe65_ActionId">
    <vt:lpwstr>66bea2fd-9d3f-4321-b8d9-53574e1fd1d9</vt:lpwstr>
  </property>
  <property fmtid="{D5CDD505-2E9C-101B-9397-08002B2CF9AE}" pid="8" name="MSIP_Label_25b3df47-8411-4936-b9ba-bd7d0b6abe65_ContentBits">
    <vt:lpwstr>0</vt:lpwstr>
  </property>
  <property fmtid="{D5CDD505-2E9C-101B-9397-08002B2CF9AE}" pid="9" name="MSIP_Label_25b3df47-8411-4936-b9ba-bd7d0b6abe65_Tag">
    <vt:lpwstr>10, 3, 0, 1</vt:lpwstr>
  </property>
</Properties>
</file>