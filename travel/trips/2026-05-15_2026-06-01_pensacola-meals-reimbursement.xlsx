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0492DFEC-CC2D-4FA6-8974-C5D16C25FAA3}" xr6:coauthVersionLast="47" xr6:coauthVersionMax="47" xr10:uidLastSave="{00000000-0000-0000-0000-000000000000}"/>
  <bookViews>
    <workbookView xWindow="1140" yWindow="1140" windowWidth="18000" windowHeight="11170" xr2:uid="{EF97FC27-7031-4F46-B279-3A8F1E0B8D41}"/>
  </bookViews>
  <sheets>
    <sheet name="Summary" sheetId="1" r:id="rId1"/>
    <sheet name="Detail" sheetId="2" r:id="rId2"/>
    <sheet name="Exclud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0" i="3" l="1"/>
  <c r="D29" i="2"/>
  <c r="C21" i="1"/>
  <c r="B14" i="1"/>
</calcChain>
</file>

<file path=xl/sharedStrings.xml><?xml version="1.0" encoding="utf-8"?>
<sst xmlns="http://schemas.openxmlformats.org/spreadsheetml/2006/main" count="171" uniqueCount="77">
  <si>
    <t>PENSACOLA TRIP - MEALS &amp; GROCERIES REIMBURSEMENT  |  May 15 - June 1, 2026</t>
  </si>
  <si>
    <t>Claimant</t>
  </si>
  <si>
    <t>Pete Castellano (Power of Attorney)</t>
  </si>
  <si>
    <t>Reimburse From</t>
  </si>
  <si>
    <t>William J. Castellano - Trust Account (NFCU)</t>
  </si>
  <si>
    <t>Property</t>
  </si>
  <si>
    <t>5577 North Shore Way, Pensacola FL</t>
  </si>
  <si>
    <t>Trip Dates</t>
  </si>
  <si>
    <t>May 15 - June 1, 2026 (18 days)</t>
  </si>
  <si>
    <t>Purpose</t>
  </si>
  <si>
    <t>Meals incurred during renovation oversight</t>
  </si>
  <si>
    <t>Basis</t>
  </si>
  <si>
    <t>POA direct reimbursement - not a Schedule E deduction</t>
  </si>
  <si>
    <t>Compiled</t>
  </si>
  <si>
    <t>SUMMARY BY CATEGORY</t>
  </si>
  <si>
    <t>Category</t>
  </si>
  <si>
    <t>Amount</t>
  </si>
  <si>
    <t># Items</t>
  </si>
  <si>
    <t>Restaurant Meals</t>
  </si>
  <si>
    <t>Groceries</t>
  </si>
  <si>
    <t>TOTAL REIMBURSEMENT</t>
  </si>
  <si>
    <t>CHARGES BY CARD</t>
  </si>
  <si>
    <t>Card</t>
  </si>
  <si>
    <t>Type</t>
  </si>
  <si>
    <t>Total Charged</t>
  </si>
  <si>
    <t>-8289</t>
  </si>
  <si>
    <t>VISA WF Debit</t>
  </si>
  <si>
    <t>-7552</t>
  </si>
  <si>
    <t>VISA WF Active Cash</t>
  </si>
  <si>
    <t>-2409</t>
  </si>
  <si>
    <t>Target Debit Card</t>
  </si>
  <si>
    <t>TOTAL</t>
  </si>
  <si>
    <t>MEALS &amp; GROCERIES - COMPLETE LISTING  |  May 15 - June 1, 2026</t>
  </si>
  <si>
    <t>POA reimbursement - 5577 North Shore Way renovation oversight. Alcohol excluded. Proportional splits are food-only amounts.</t>
  </si>
  <si>
    <t>Date</t>
  </si>
  <si>
    <t>Description</t>
  </si>
  <si>
    <t>McDonald's, Orlando FL</t>
  </si>
  <si>
    <t>Restaurant</t>
  </si>
  <si>
    <t>Popeyes, Atlanta GA (layover)</t>
  </si>
  <si>
    <t>The Sports Bar, Pensacola FL - food (proportional)</t>
  </si>
  <si>
    <t>Publix (Perdido Key), Pensacola FL - groceries</t>
  </si>
  <si>
    <t>Burger King #4914, Pensacola FL</t>
  </si>
  <si>
    <t>Walmart Supercenter, Pensacola FL - groceries</t>
  </si>
  <si>
    <t>Hub Stacey's at The Point - food (proportional)</t>
  </si>
  <si>
    <t>Welcome To Vallarta - food (proportional), Pensacola FL</t>
  </si>
  <si>
    <t>Purple Parrot Beach Bar - food only, Pensacola FL</t>
  </si>
  <si>
    <t>Hub Stacey's at The Point - lunch, Pensacola FL</t>
  </si>
  <si>
    <t>Dollar General #18397, Pensacola FL - groceries</t>
  </si>
  <si>
    <t>Dollar General #18397, Pensacola FL - groceries (split receipt)</t>
  </si>
  <si>
    <t>Johnny Bs Front Porch, Lillian AL - Fish Salad</t>
  </si>
  <si>
    <t>Johnny Bs Front Porch, Lillian AL - food (proportional)</t>
  </si>
  <si>
    <t>Hub Stacey's at The Point - dinner, Pensacola FL</t>
  </si>
  <si>
    <t>Hub Stacey's at The Point - dinner (Innerarity), Pensacola FL</t>
  </si>
  <si>
    <t>FloraBama Oyster Bar - food only, Pensacola FL</t>
  </si>
  <si>
    <t>Target (Pensacola West) - groceries</t>
  </si>
  <si>
    <t>Fisherman's Corner, Pensacola FL</t>
  </si>
  <si>
    <t>Chipotle, Pensacola FL</t>
  </si>
  <si>
    <t>EXCLUDED - Alcohol (Not Claimed for Reimbursement)</t>
  </si>
  <si>
    <t>Documented for completeness. Not included in reimbursement total. Proportional splits: food claimed above, alcohol shown here.</t>
  </si>
  <si>
    <t>Reason</t>
  </si>
  <si>
    <t>The Sports Bar - Yuengling (proportional)</t>
  </si>
  <si>
    <t>Alcohol</t>
  </si>
  <si>
    <t>Hub Stacey's at The Point - Yuengling (proportional)</t>
  </si>
  <si>
    <t>FloraBama Lounge - alcohol portion</t>
  </si>
  <si>
    <t>Welcome To Vallarta - margarita (proportional)</t>
  </si>
  <si>
    <t>Purple Parrot Beach Bar - Yuengling 2x (incl. cash tip)</t>
  </si>
  <si>
    <t>Hub Stacey's at The Point - Yuengling</t>
  </si>
  <si>
    <t>Johnny Bs Front Porch - Yuengling + Tito's (proportional)</t>
  </si>
  <si>
    <t>Hub Stacey's at The Point - Yuengling (proportional, 4:46 PM)</t>
  </si>
  <si>
    <t>Hub Stacey's at The Point - 4 Yuengling + Coors (11:38 PM)</t>
  </si>
  <si>
    <t>Hub Stacey's at The Point - 2 Yuengling (incl. tip)</t>
  </si>
  <si>
    <t>Cash</t>
  </si>
  <si>
    <t>Bushwackers Landing - drinks only</t>
  </si>
  <si>
    <t>McDonald's, Pensacola FL</t>
  </si>
  <si>
    <t>Not claimed</t>
  </si>
  <si>
    <t>FloraBama Lounge Admission</t>
  </si>
  <si>
    <t>TOTAL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</si>
</sst>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0E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5" fontId="0" fillId="0" borderId="0" xfId="0" applyNumberFormat="1"/>
    <xf numFmtId="0" fontId="3" fillId="3" borderId="0" xfId="0" applyFont="1" applyFill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  <xf numFmtId="164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3" fillId="7" borderId="1" xfId="0" applyFont="1" applyFill="1" applyBorder="1"/>
    <xf numFmtId="164" fontId="3" fillId="7" borderId="1" xfId="0" applyNumberFormat="1" applyFont="1" applyFill="1" applyBorder="1" applyAlignment="1">
      <alignment horizontal="right"/>
    </xf>
    <xf numFmtId="0" fontId="0" fillId="7" borderId="1" xfId="0" applyFill="1" applyBorder="1"/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 applyAlignment="1">
      <alignment horizontal="right"/>
    </xf>
    <xf numFmtId="49" fontId="0" fillId="4" borderId="1" xfId="0" applyNumberFormat="1" applyFill="1" applyBorder="1" applyAlignment="1">
      <alignment horizontal="center"/>
    </xf>
    <xf numFmtId="14" fontId="0" fillId="6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 applyAlignment="1">
      <alignment horizontal="right"/>
    </xf>
    <xf numFmtId="49" fontId="0" fillId="8" borderId="1" xfId="0" applyNumberForma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5" fillId="0" borderId="0" xfId="0" applyFont="1"/>
    <xf numFmtId="0" fontId="3" fillId="9" borderId="1" xfId="0" applyFont="1" applyFill="1" applyBorder="1"/>
    <xf numFmtId="14" fontId="0" fillId="10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right"/>
    </xf>
    <xf numFmtId="49" fontId="0" fillId="10" borderId="1" xfId="0" applyNumberFormat="1" applyFill="1" applyBorder="1" applyAlignment="1">
      <alignment horizontal="center"/>
    </xf>
    <xf numFmtId="0" fontId="0" fillId="9" borderId="1" xfId="0" applyFill="1" applyBorder="1"/>
    <xf numFmtId="164" fontId="3" fillId="9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C177-EF0A-4629-9F94-E84CBA73BDDA}">
  <sheetPr>
    <tabColor rgb="FF235637"/>
  </sheetPr>
  <dimension ref="A1:C21"/>
  <sheetViews>
    <sheetView tabSelected="1" workbookViewId="0">
      <selection sqref="A1:C1"/>
    </sheetView>
  </sheetViews>
  <sheetFormatPr defaultRowHeight="14.5" x14ac:dyDescent="0.35"/>
  <cols>
    <col min="1" max="1" width="30.6328125" customWidth="1"/>
    <col min="2" max="2" width="14.6328125" customWidth="1"/>
    <col min="3" max="3" width="8.6328125" customWidth="1"/>
  </cols>
  <sheetData>
    <row r="1" spans="1:3" ht="22" customHeight="1" x14ac:dyDescent="0.4">
      <c r="A1" s="2" t="s">
        <v>0</v>
      </c>
      <c r="B1" s="3"/>
      <c r="C1" s="3"/>
    </row>
    <row r="2" spans="1:3" x14ac:dyDescent="0.35">
      <c r="A2" s="4" t="s">
        <v>1</v>
      </c>
      <c r="B2" s="1" t="s">
        <v>2</v>
      </c>
      <c r="C2" s="1"/>
    </row>
    <row r="3" spans="1:3" x14ac:dyDescent="0.35">
      <c r="A3" s="4" t="s">
        <v>3</v>
      </c>
      <c r="B3" s="1" t="s">
        <v>4</v>
      </c>
      <c r="C3" s="1"/>
    </row>
    <row r="4" spans="1:3" x14ac:dyDescent="0.35">
      <c r="A4" s="4" t="s">
        <v>5</v>
      </c>
      <c r="B4" s="1" t="s">
        <v>6</v>
      </c>
      <c r="C4" s="1"/>
    </row>
    <row r="5" spans="1:3" x14ac:dyDescent="0.35">
      <c r="A5" s="4" t="s">
        <v>7</v>
      </c>
      <c r="B5" s="1" t="s">
        <v>8</v>
      </c>
      <c r="C5" s="1"/>
    </row>
    <row r="6" spans="1:3" x14ac:dyDescent="0.35">
      <c r="A6" s="4" t="s">
        <v>9</v>
      </c>
      <c r="B6" s="1" t="s">
        <v>10</v>
      </c>
      <c r="C6" s="1"/>
    </row>
    <row r="7" spans="1:3" x14ac:dyDescent="0.35">
      <c r="A7" s="4" t="s">
        <v>11</v>
      </c>
      <c r="B7" s="1" t="s">
        <v>12</v>
      </c>
      <c r="C7" s="1"/>
    </row>
    <row r="8" spans="1:3" x14ac:dyDescent="0.35">
      <c r="A8" s="4" t="s">
        <v>13</v>
      </c>
      <c r="B8" s="5">
        <v>46181</v>
      </c>
      <c r="C8" s="1"/>
    </row>
    <row r="10" spans="1:3" x14ac:dyDescent="0.35">
      <c r="A10" s="6" t="s">
        <v>14</v>
      </c>
      <c r="B10" s="3"/>
      <c r="C10" s="3"/>
    </row>
    <row r="11" spans="1:3" x14ac:dyDescent="0.35">
      <c r="A11" s="7" t="s">
        <v>15</v>
      </c>
      <c r="B11" s="7" t="s">
        <v>16</v>
      </c>
      <c r="C11" s="7" t="s">
        <v>17</v>
      </c>
    </row>
    <row r="12" spans="1:3" x14ac:dyDescent="0.35">
      <c r="A12" s="8" t="s">
        <v>18</v>
      </c>
      <c r="B12" s="9">
        <v>476.15</v>
      </c>
      <c r="C12" s="10">
        <v>20</v>
      </c>
    </row>
    <row r="13" spans="1:3" x14ac:dyDescent="0.35">
      <c r="A13" s="11" t="s">
        <v>19</v>
      </c>
      <c r="B13" s="12">
        <v>121.36</v>
      </c>
      <c r="C13" s="13">
        <v>5</v>
      </c>
    </row>
    <row r="14" spans="1:3" x14ac:dyDescent="0.35">
      <c r="A14" s="14" t="s">
        <v>20</v>
      </c>
      <c r="B14" s="15">
        <f>SUM(B12:B13)</f>
        <v>597.51</v>
      </c>
      <c r="C14" s="16"/>
    </row>
    <row r="16" spans="1:3" x14ac:dyDescent="0.35">
      <c r="A16" s="6" t="s">
        <v>21</v>
      </c>
      <c r="B16" s="3"/>
      <c r="C16" s="3"/>
    </row>
    <row r="17" spans="1:3" x14ac:dyDescent="0.35">
      <c r="A17" s="7" t="s">
        <v>22</v>
      </c>
      <c r="B17" s="7" t="s">
        <v>23</v>
      </c>
      <c r="C17" s="7" t="s">
        <v>24</v>
      </c>
    </row>
    <row r="18" spans="1:3" x14ac:dyDescent="0.35">
      <c r="A18" s="17" t="s">
        <v>25</v>
      </c>
      <c r="B18" s="8" t="s">
        <v>26</v>
      </c>
      <c r="C18" s="9">
        <v>447.67</v>
      </c>
    </row>
    <row r="19" spans="1:3" x14ac:dyDescent="0.35">
      <c r="A19" s="18" t="s">
        <v>27</v>
      </c>
      <c r="B19" s="11" t="s">
        <v>28</v>
      </c>
      <c r="C19" s="12">
        <v>135.97999999999999</v>
      </c>
    </row>
    <row r="20" spans="1:3" x14ac:dyDescent="0.35">
      <c r="A20" s="17" t="s">
        <v>29</v>
      </c>
      <c r="B20" s="8" t="s">
        <v>30</v>
      </c>
      <c r="C20" s="9">
        <v>13.86</v>
      </c>
    </row>
    <row r="21" spans="1:3" x14ac:dyDescent="0.35">
      <c r="A21" s="14" t="s">
        <v>31</v>
      </c>
      <c r="B21" s="16"/>
      <c r="C21" s="15">
        <f>SUM(C18:C20)</f>
        <v>597.51</v>
      </c>
    </row>
  </sheetData>
  <mergeCells count="10">
    <mergeCell ref="B7:C7"/>
    <mergeCell ref="B8:C8"/>
    <mergeCell ref="A10:C10"/>
    <mergeCell ref="A16:C16"/>
    <mergeCell ref="A1:C1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10F5-E6EE-47F4-89DC-E65D0C293EBD}">
  <sheetPr>
    <tabColor rgb="FFB6752E"/>
  </sheetPr>
  <dimension ref="A1:E29"/>
  <sheetViews>
    <sheetView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10.6328125" customWidth="1"/>
    <col min="2" max="2" width="48.6328125" customWidth="1"/>
    <col min="3" max="3" width="14.6328125" customWidth="1"/>
    <col min="4" max="4" width="12.6328125" customWidth="1"/>
    <col min="5" max="5" width="8.6328125" customWidth="1"/>
  </cols>
  <sheetData>
    <row r="1" spans="1:5" ht="22" customHeight="1" x14ac:dyDescent="0.4">
      <c r="A1" s="2" t="s">
        <v>32</v>
      </c>
      <c r="B1" s="3"/>
      <c r="C1" s="3"/>
      <c r="D1" s="3"/>
      <c r="E1" s="3"/>
    </row>
    <row r="2" spans="1:5" x14ac:dyDescent="0.35">
      <c r="A2" s="19" t="s">
        <v>33</v>
      </c>
      <c r="B2" s="3"/>
      <c r="C2" s="3"/>
      <c r="D2" s="3"/>
      <c r="E2" s="3"/>
    </row>
    <row r="3" spans="1:5" ht="16" customHeight="1" x14ac:dyDescent="0.35">
      <c r="A3" s="20" t="s">
        <v>34</v>
      </c>
      <c r="B3" s="20" t="s">
        <v>35</v>
      </c>
      <c r="C3" s="20" t="s">
        <v>15</v>
      </c>
      <c r="D3" s="20" t="s">
        <v>16</v>
      </c>
      <c r="E3" s="20" t="s">
        <v>22</v>
      </c>
    </row>
    <row r="4" spans="1:5" x14ac:dyDescent="0.35">
      <c r="A4" s="21">
        <v>46158</v>
      </c>
      <c r="B4" s="22" t="s">
        <v>36</v>
      </c>
      <c r="C4" s="22" t="s">
        <v>37</v>
      </c>
      <c r="D4" s="23">
        <v>8.81</v>
      </c>
      <c r="E4" s="24" t="s">
        <v>25</v>
      </c>
    </row>
    <row r="5" spans="1:5" x14ac:dyDescent="0.35">
      <c r="A5" s="25">
        <v>46159</v>
      </c>
      <c r="B5" s="11" t="s">
        <v>38</v>
      </c>
      <c r="C5" s="11" t="s">
        <v>37</v>
      </c>
      <c r="D5" s="12">
        <v>11.64</v>
      </c>
      <c r="E5" s="18" t="s">
        <v>25</v>
      </c>
    </row>
    <row r="6" spans="1:5" x14ac:dyDescent="0.35">
      <c r="A6" s="21">
        <v>46159</v>
      </c>
      <c r="B6" s="22" t="s">
        <v>39</v>
      </c>
      <c r="C6" s="22" t="s">
        <v>37</v>
      </c>
      <c r="D6" s="23">
        <v>20.92</v>
      </c>
      <c r="E6" s="24" t="s">
        <v>25</v>
      </c>
    </row>
    <row r="7" spans="1:5" x14ac:dyDescent="0.35">
      <c r="A7" s="26">
        <v>46160</v>
      </c>
      <c r="B7" s="27" t="s">
        <v>40</v>
      </c>
      <c r="C7" s="27" t="s">
        <v>19</v>
      </c>
      <c r="D7" s="28">
        <v>44.18</v>
      </c>
      <c r="E7" s="29" t="s">
        <v>25</v>
      </c>
    </row>
    <row r="8" spans="1:5" x14ac:dyDescent="0.35">
      <c r="A8" s="21">
        <v>46161</v>
      </c>
      <c r="B8" s="22" t="s">
        <v>41</v>
      </c>
      <c r="C8" s="22" t="s">
        <v>37</v>
      </c>
      <c r="D8" s="23">
        <v>13.1</v>
      </c>
      <c r="E8" s="24" t="s">
        <v>25</v>
      </c>
    </row>
    <row r="9" spans="1:5" x14ac:dyDescent="0.35">
      <c r="A9" s="26">
        <v>46161</v>
      </c>
      <c r="B9" s="27" t="s">
        <v>42</v>
      </c>
      <c r="C9" s="27" t="s">
        <v>19</v>
      </c>
      <c r="D9" s="28">
        <v>16.18</v>
      </c>
      <c r="E9" s="29" t="s">
        <v>25</v>
      </c>
    </row>
    <row r="10" spans="1:5" x14ac:dyDescent="0.35">
      <c r="A10" s="21">
        <v>46161</v>
      </c>
      <c r="B10" s="22" t="s">
        <v>43</v>
      </c>
      <c r="C10" s="22" t="s">
        <v>37</v>
      </c>
      <c r="D10" s="23">
        <v>17.78</v>
      </c>
      <c r="E10" s="24" t="s">
        <v>25</v>
      </c>
    </row>
    <row r="11" spans="1:5" x14ac:dyDescent="0.35">
      <c r="A11" s="25">
        <v>46163</v>
      </c>
      <c r="B11" s="11" t="s">
        <v>44</v>
      </c>
      <c r="C11" s="11" t="s">
        <v>37</v>
      </c>
      <c r="D11" s="12">
        <v>21.41</v>
      </c>
      <c r="E11" s="18" t="s">
        <v>25</v>
      </c>
    </row>
    <row r="12" spans="1:5" x14ac:dyDescent="0.35">
      <c r="A12" s="21">
        <v>46163</v>
      </c>
      <c r="B12" s="22" t="s">
        <v>43</v>
      </c>
      <c r="C12" s="22" t="s">
        <v>37</v>
      </c>
      <c r="D12" s="23">
        <v>10.68</v>
      </c>
      <c r="E12" s="24" t="s">
        <v>25</v>
      </c>
    </row>
    <row r="13" spans="1:5" x14ac:dyDescent="0.35">
      <c r="A13" s="25">
        <v>46164</v>
      </c>
      <c r="B13" s="11" t="s">
        <v>45</v>
      </c>
      <c r="C13" s="11" t="s">
        <v>37</v>
      </c>
      <c r="D13" s="12">
        <v>24.87</v>
      </c>
      <c r="E13" s="18" t="s">
        <v>25</v>
      </c>
    </row>
    <row r="14" spans="1:5" x14ac:dyDescent="0.35">
      <c r="A14" s="21">
        <v>46165</v>
      </c>
      <c r="B14" s="22" t="s">
        <v>46</v>
      </c>
      <c r="C14" s="22" t="s">
        <v>37</v>
      </c>
      <c r="D14" s="23">
        <v>26.34</v>
      </c>
      <c r="E14" s="24" t="s">
        <v>25</v>
      </c>
    </row>
    <row r="15" spans="1:5" x14ac:dyDescent="0.35">
      <c r="A15" s="26">
        <v>46166</v>
      </c>
      <c r="B15" s="27" t="s">
        <v>47</v>
      </c>
      <c r="C15" s="27" t="s">
        <v>19</v>
      </c>
      <c r="D15" s="28">
        <v>36.69</v>
      </c>
      <c r="E15" s="29" t="s">
        <v>25</v>
      </c>
    </row>
    <row r="16" spans="1:5" x14ac:dyDescent="0.35">
      <c r="A16" s="26">
        <v>46166</v>
      </c>
      <c r="B16" s="27" t="s">
        <v>48</v>
      </c>
      <c r="C16" s="27" t="s">
        <v>19</v>
      </c>
      <c r="D16" s="28">
        <v>10.45</v>
      </c>
      <c r="E16" s="29" t="s">
        <v>25</v>
      </c>
    </row>
    <row r="17" spans="1:5" x14ac:dyDescent="0.35">
      <c r="A17" s="25">
        <v>46166</v>
      </c>
      <c r="B17" s="11" t="s">
        <v>49</v>
      </c>
      <c r="C17" s="11" t="s">
        <v>37</v>
      </c>
      <c r="D17" s="12">
        <v>13.07</v>
      </c>
      <c r="E17" s="18" t="s">
        <v>25</v>
      </c>
    </row>
    <row r="18" spans="1:5" x14ac:dyDescent="0.35">
      <c r="A18" s="21">
        <v>46166</v>
      </c>
      <c r="B18" s="22" t="s">
        <v>50</v>
      </c>
      <c r="C18" s="22" t="s">
        <v>37</v>
      </c>
      <c r="D18" s="23">
        <v>17.27</v>
      </c>
      <c r="E18" s="24" t="s">
        <v>25</v>
      </c>
    </row>
    <row r="19" spans="1:5" x14ac:dyDescent="0.35">
      <c r="A19" s="25">
        <v>46167</v>
      </c>
      <c r="B19" s="11" t="s">
        <v>51</v>
      </c>
      <c r="C19" s="11" t="s">
        <v>37</v>
      </c>
      <c r="D19" s="12">
        <v>17.54</v>
      </c>
      <c r="E19" s="18" t="s">
        <v>25</v>
      </c>
    </row>
    <row r="20" spans="1:5" x14ac:dyDescent="0.35">
      <c r="A20" s="21">
        <v>46168</v>
      </c>
      <c r="B20" s="22" t="s">
        <v>43</v>
      </c>
      <c r="C20" s="22" t="s">
        <v>37</v>
      </c>
      <c r="D20" s="23">
        <v>21.37</v>
      </c>
      <c r="E20" s="24" t="s">
        <v>25</v>
      </c>
    </row>
    <row r="21" spans="1:5" x14ac:dyDescent="0.35">
      <c r="A21" s="25">
        <v>46169</v>
      </c>
      <c r="B21" s="11" t="s">
        <v>52</v>
      </c>
      <c r="C21" s="11" t="s">
        <v>37</v>
      </c>
      <c r="D21" s="12">
        <v>25.25</v>
      </c>
      <c r="E21" s="18" t="s">
        <v>25</v>
      </c>
    </row>
    <row r="22" spans="1:5" x14ac:dyDescent="0.35">
      <c r="A22" s="21">
        <v>46170</v>
      </c>
      <c r="B22" s="22" t="s">
        <v>53</v>
      </c>
      <c r="C22" s="22" t="s">
        <v>37</v>
      </c>
      <c r="D22" s="23">
        <v>16.34</v>
      </c>
      <c r="E22" s="24" t="s">
        <v>25</v>
      </c>
    </row>
    <row r="23" spans="1:5" x14ac:dyDescent="0.35">
      <c r="A23" s="26">
        <v>46170</v>
      </c>
      <c r="B23" s="27" t="s">
        <v>54</v>
      </c>
      <c r="C23" s="27" t="s">
        <v>19</v>
      </c>
      <c r="D23" s="28">
        <v>13.86</v>
      </c>
      <c r="E23" s="29" t="s">
        <v>29</v>
      </c>
    </row>
    <row r="24" spans="1:5" x14ac:dyDescent="0.35">
      <c r="A24" s="21">
        <v>46171</v>
      </c>
      <c r="B24" s="22" t="s">
        <v>43</v>
      </c>
      <c r="C24" s="22" t="s">
        <v>37</v>
      </c>
      <c r="D24" s="23">
        <v>16.899999999999999</v>
      </c>
      <c r="E24" s="24" t="s">
        <v>25</v>
      </c>
    </row>
    <row r="25" spans="1:5" x14ac:dyDescent="0.35">
      <c r="A25" s="25">
        <v>46172</v>
      </c>
      <c r="B25" s="11" t="s">
        <v>43</v>
      </c>
      <c r="C25" s="11" t="s">
        <v>37</v>
      </c>
      <c r="D25" s="12">
        <v>17.34</v>
      </c>
      <c r="E25" s="18" t="s">
        <v>25</v>
      </c>
    </row>
    <row r="26" spans="1:5" x14ac:dyDescent="0.35">
      <c r="A26" s="21">
        <v>46173</v>
      </c>
      <c r="B26" s="22" t="s">
        <v>46</v>
      </c>
      <c r="C26" s="22" t="s">
        <v>37</v>
      </c>
      <c r="D26" s="23">
        <v>39.54</v>
      </c>
      <c r="E26" s="24" t="s">
        <v>25</v>
      </c>
    </row>
    <row r="27" spans="1:5" x14ac:dyDescent="0.35">
      <c r="A27" s="25">
        <v>46173</v>
      </c>
      <c r="B27" s="11" t="s">
        <v>55</v>
      </c>
      <c r="C27" s="11" t="s">
        <v>37</v>
      </c>
      <c r="D27" s="12">
        <v>118.03</v>
      </c>
      <c r="E27" s="18" t="s">
        <v>27</v>
      </c>
    </row>
    <row r="28" spans="1:5" x14ac:dyDescent="0.35">
      <c r="A28" s="21">
        <v>46174</v>
      </c>
      <c r="B28" s="22" t="s">
        <v>56</v>
      </c>
      <c r="C28" s="22" t="s">
        <v>37</v>
      </c>
      <c r="D28" s="23">
        <v>17.95</v>
      </c>
      <c r="E28" s="24" t="s">
        <v>27</v>
      </c>
    </row>
    <row r="29" spans="1:5" x14ac:dyDescent="0.35">
      <c r="A29" s="16"/>
      <c r="B29" s="14" t="s">
        <v>20</v>
      </c>
      <c r="C29" s="16"/>
      <c r="D29" s="15">
        <f>SUM(D4:D28)</f>
        <v>597.51</v>
      </c>
      <c r="E29" s="16"/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5087-3D6C-4B6E-814F-C4A5FB2BC131}">
  <sheetPr>
    <tabColor rgb="FF0000C0"/>
  </sheetPr>
  <dimension ref="A1:E20"/>
  <sheetViews>
    <sheetView workbookViewId="0"/>
  </sheetViews>
  <sheetFormatPr defaultRowHeight="14.5" x14ac:dyDescent="0.35"/>
  <cols>
    <col min="1" max="1" width="10.6328125" customWidth="1"/>
    <col min="2" max="2" width="46.6328125" customWidth="1"/>
    <col min="3" max="3" width="14.6328125" customWidth="1"/>
    <col min="4" max="4" width="12.6328125" customWidth="1"/>
    <col min="5" max="5" width="8.6328125" customWidth="1"/>
  </cols>
  <sheetData>
    <row r="1" spans="1:5" ht="22" customHeight="1" x14ac:dyDescent="0.4">
      <c r="A1" s="30" t="s">
        <v>57</v>
      </c>
      <c r="B1" s="3"/>
      <c r="C1" s="3"/>
      <c r="D1" s="3"/>
      <c r="E1" s="3"/>
    </row>
    <row r="2" spans="1:5" x14ac:dyDescent="0.35">
      <c r="A2" s="31" t="s">
        <v>58</v>
      </c>
      <c r="B2" s="1"/>
      <c r="C2" s="1"/>
      <c r="D2" s="1"/>
      <c r="E2" s="1"/>
    </row>
    <row r="3" spans="1:5" x14ac:dyDescent="0.35">
      <c r="A3" s="32" t="s">
        <v>34</v>
      </c>
      <c r="B3" s="32" t="s">
        <v>35</v>
      </c>
      <c r="C3" s="32" t="s">
        <v>59</v>
      </c>
      <c r="D3" s="32" t="s">
        <v>16</v>
      </c>
      <c r="E3" s="32" t="s">
        <v>22</v>
      </c>
    </row>
    <row r="4" spans="1:5" x14ac:dyDescent="0.35">
      <c r="A4" s="33">
        <v>46159</v>
      </c>
      <c r="B4" s="34" t="s">
        <v>60</v>
      </c>
      <c r="C4" s="35" t="s">
        <v>61</v>
      </c>
      <c r="D4" s="36">
        <v>9.08</v>
      </c>
      <c r="E4" s="37" t="s">
        <v>25</v>
      </c>
    </row>
    <row r="5" spans="1:5" x14ac:dyDescent="0.35">
      <c r="A5" s="25">
        <v>46161</v>
      </c>
      <c r="B5" s="11" t="s">
        <v>62</v>
      </c>
      <c r="C5" s="13" t="s">
        <v>61</v>
      </c>
      <c r="D5" s="12">
        <v>9.58</v>
      </c>
      <c r="E5" s="18" t="s">
        <v>25</v>
      </c>
    </row>
    <row r="6" spans="1:5" x14ac:dyDescent="0.35">
      <c r="A6" s="33">
        <v>46162</v>
      </c>
      <c r="B6" s="34" t="s">
        <v>63</v>
      </c>
      <c r="C6" s="35" t="s">
        <v>61</v>
      </c>
      <c r="D6" s="36">
        <v>17.25</v>
      </c>
      <c r="E6" s="37" t="s">
        <v>25</v>
      </c>
    </row>
    <row r="7" spans="1:5" x14ac:dyDescent="0.35">
      <c r="A7" s="25">
        <v>46163</v>
      </c>
      <c r="B7" s="11" t="s">
        <v>64</v>
      </c>
      <c r="C7" s="13" t="s">
        <v>61</v>
      </c>
      <c r="D7" s="12">
        <v>7.77</v>
      </c>
      <c r="E7" s="18" t="s">
        <v>25</v>
      </c>
    </row>
    <row r="8" spans="1:5" x14ac:dyDescent="0.35">
      <c r="A8" s="33">
        <v>46163</v>
      </c>
      <c r="B8" s="34" t="s">
        <v>62</v>
      </c>
      <c r="C8" s="35" t="s">
        <v>61</v>
      </c>
      <c r="D8" s="36">
        <v>14.01</v>
      </c>
      <c r="E8" s="37" t="s">
        <v>25</v>
      </c>
    </row>
    <row r="9" spans="1:5" x14ac:dyDescent="0.35">
      <c r="A9" s="25">
        <v>46164</v>
      </c>
      <c r="B9" s="11" t="s">
        <v>65</v>
      </c>
      <c r="C9" s="13" t="s">
        <v>61</v>
      </c>
      <c r="D9" s="12">
        <v>12.53</v>
      </c>
      <c r="E9" s="18" t="s">
        <v>25</v>
      </c>
    </row>
    <row r="10" spans="1:5" x14ac:dyDescent="0.35">
      <c r="A10" s="33">
        <v>46165</v>
      </c>
      <c r="B10" s="34" t="s">
        <v>66</v>
      </c>
      <c r="C10" s="35" t="s">
        <v>61</v>
      </c>
      <c r="D10" s="36">
        <v>14.74</v>
      </c>
      <c r="E10" s="37" t="s">
        <v>25</v>
      </c>
    </row>
    <row r="11" spans="1:5" x14ac:dyDescent="0.35">
      <c r="A11" s="25">
        <v>46166</v>
      </c>
      <c r="B11" s="11" t="s">
        <v>67</v>
      </c>
      <c r="C11" s="13" t="s">
        <v>61</v>
      </c>
      <c r="D11" s="12">
        <v>31.18</v>
      </c>
      <c r="E11" s="18" t="s">
        <v>25</v>
      </c>
    </row>
    <row r="12" spans="1:5" x14ac:dyDescent="0.35">
      <c r="A12" s="33">
        <v>46168</v>
      </c>
      <c r="B12" s="34" t="s">
        <v>62</v>
      </c>
      <c r="C12" s="35" t="s">
        <v>61</v>
      </c>
      <c r="D12" s="36">
        <v>9.35</v>
      </c>
      <c r="E12" s="37" t="s">
        <v>25</v>
      </c>
    </row>
    <row r="13" spans="1:5" x14ac:dyDescent="0.35">
      <c r="A13" s="25">
        <v>46171</v>
      </c>
      <c r="B13" s="11" t="s">
        <v>62</v>
      </c>
      <c r="C13" s="13" t="s">
        <v>61</v>
      </c>
      <c r="D13" s="12">
        <v>4.55</v>
      </c>
      <c r="E13" s="18" t="s">
        <v>25</v>
      </c>
    </row>
    <row r="14" spans="1:5" x14ac:dyDescent="0.35">
      <c r="A14" s="33">
        <v>46172</v>
      </c>
      <c r="B14" s="34" t="s">
        <v>68</v>
      </c>
      <c r="C14" s="35" t="s">
        <v>61</v>
      </c>
      <c r="D14" s="36">
        <v>4.66</v>
      </c>
      <c r="E14" s="37" t="s">
        <v>25</v>
      </c>
    </row>
    <row r="15" spans="1:5" x14ac:dyDescent="0.35">
      <c r="A15" s="25">
        <v>46172</v>
      </c>
      <c r="B15" s="11" t="s">
        <v>69</v>
      </c>
      <c r="C15" s="13" t="s">
        <v>61</v>
      </c>
      <c r="D15" s="12">
        <v>23.29</v>
      </c>
      <c r="E15" s="18" t="s">
        <v>25</v>
      </c>
    </row>
    <row r="16" spans="1:5" x14ac:dyDescent="0.35">
      <c r="A16" s="33">
        <v>46173</v>
      </c>
      <c r="B16" s="34" t="s">
        <v>70</v>
      </c>
      <c r="C16" s="35" t="s">
        <v>61</v>
      </c>
      <c r="D16" s="36">
        <v>10</v>
      </c>
      <c r="E16" s="37" t="s">
        <v>71</v>
      </c>
    </row>
    <row r="17" spans="1:5" x14ac:dyDescent="0.35">
      <c r="A17" s="25">
        <v>46173</v>
      </c>
      <c r="B17" s="11" t="s">
        <v>72</v>
      </c>
      <c r="C17" s="13" t="s">
        <v>61</v>
      </c>
      <c r="D17" s="12">
        <v>23.27</v>
      </c>
      <c r="E17" s="18" t="s">
        <v>27</v>
      </c>
    </row>
    <row r="18" spans="1:5" x14ac:dyDescent="0.35">
      <c r="A18" s="33">
        <v>46160</v>
      </c>
      <c r="B18" s="34" t="s">
        <v>73</v>
      </c>
      <c r="C18" s="35" t="s">
        <v>74</v>
      </c>
      <c r="D18" s="36">
        <v>5.36</v>
      </c>
      <c r="E18" s="37" t="s">
        <v>25</v>
      </c>
    </row>
    <row r="19" spans="1:5" x14ac:dyDescent="0.35">
      <c r="A19" s="25">
        <v>46162</v>
      </c>
      <c r="B19" s="11" t="s">
        <v>75</v>
      </c>
      <c r="C19" s="13" t="s">
        <v>74</v>
      </c>
      <c r="D19" s="12">
        <v>5</v>
      </c>
      <c r="E19" s="18" t="s">
        <v>25</v>
      </c>
    </row>
    <row r="20" spans="1:5" x14ac:dyDescent="0.35">
      <c r="A20" s="38"/>
      <c r="B20" s="32" t="s">
        <v>76</v>
      </c>
      <c r="C20" s="38"/>
      <c r="D20" s="39">
        <f>SUM(D4:D19)</f>
        <v>201.62</v>
      </c>
      <c r="E20" s="38"/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Excluded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2026-06-08T20:59:26Z</dcterms:created>
  <dcterms:modified xsi:type="dcterms:W3CDTF">2026-06-08T20:59:30Z</dcterms:modified>
</cp:coreProperties>
</file>