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8D237E87-F516-41E5-BA7C-693FF09003E6}" xr6:coauthVersionLast="47" xr6:coauthVersionMax="47" xr10:uidLastSave="{00000000-0000-0000-0000-000000000000}"/>
  <bookViews>
    <workbookView xWindow="35880" yWindow="2190" windowWidth="29040" windowHeight="17520" xr2:uid="{617B4EC0-3BD0-4E27-8931-D7133EC75826}"/>
  </bookViews>
  <sheets>
    <sheet name="Summary" sheetId="2" r:id="rId1"/>
    <sheet name="Expenses" sheetId="1" r:id="rId2"/>
    <sheet name="Exclu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2" l="1"/>
  <c r="B14" i="2"/>
  <c r="D11" i="1"/>
</calcChain>
</file>

<file path=xl/sharedStrings.xml><?xml version="1.0" encoding="utf-8"?>
<sst xmlns="http://schemas.openxmlformats.org/spreadsheetml/2006/main" count="76" uniqueCount="51">
  <si>
    <t>NASHVILLE TRIP - EXPENSE DETAIL  |  June 22 - June 26, 2026</t>
  </si>
  <si>
    <t>Preparer: Pete Castellano     Compiled: July 4, 2026     Purpose: HM Alpha training, Union Station Nashville Yards - billable to Unifocus</t>
  </si>
  <si>
    <t>Date</t>
  </si>
  <si>
    <t>Description</t>
  </si>
  <si>
    <t>Category</t>
  </si>
  <si>
    <t>Amount</t>
  </si>
  <si>
    <t>Card</t>
  </si>
  <si>
    <t>Reimb?</t>
  </si>
  <si>
    <t>SW MCO-BNA (C2LURD) - card charge</t>
  </si>
  <si>
    <t>Air Fare</t>
  </si>
  <si>
    <t>-2785</t>
  </si>
  <si>
    <t>Yes</t>
  </si>
  <si>
    <t>SW MCO-BNA (C2LURD) - SW travel credit applied</t>
  </si>
  <si>
    <t>SW Credit</t>
  </si>
  <si>
    <t>Uber, BNA Airport to Union Station Hotel Nashville</t>
  </si>
  <si>
    <t>Ground Transport</t>
  </si>
  <si>
    <t>-0733</t>
  </si>
  <si>
    <t>Uber, Union Station Hotel Nashville to BNA Airport</t>
  </si>
  <si>
    <t>HMSHost/Great Divide C, Denver Airport (DEN layover) - meal</t>
  </si>
  <si>
    <t>Meals</t>
  </si>
  <si>
    <t>-2674</t>
  </si>
  <si>
    <t>SW BNA-DEN-OMA (CBRFPV) - card charge</t>
  </si>
  <si>
    <t>SW BNA-DEN-OMA (CBRFPV) - SW travel credit applied</t>
  </si>
  <si>
    <t>TOTAL REIMBURSABLE</t>
  </si>
  <si>
    <t>NASHVILLE TRIP EXPENSE REPORT  -  JUNE 22 to JUNE 26, 2026</t>
  </si>
  <si>
    <t>Traveler</t>
  </si>
  <si>
    <t>Pete Castellano</t>
  </si>
  <si>
    <t>Purpose</t>
  </si>
  <si>
    <t>HM Alpha training - Union Station Nashville Yards (billable to Unifocus)</t>
  </si>
  <si>
    <t>Dates</t>
  </si>
  <si>
    <t>June 22 - June 26, 2026 (5 days)</t>
  </si>
  <si>
    <t>Property</t>
  </si>
  <si>
    <t>Union Station Nashville Yards, Autograph Collection</t>
  </si>
  <si>
    <t>Compiled</t>
  </si>
  <si>
    <t>July 4, 2026</t>
  </si>
  <si>
    <t>Note</t>
  </si>
  <si>
    <t>Hotel comped by property. No baggage fees - one checked bag free both directions.</t>
  </si>
  <si>
    <t>SUMMARY BY CATEGORY</t>
  </si>
  <si>
    <t># Items</t>
  </si>
  <si>
    <t>SUMMARY BY PAYMENT TYPE</t>
  </si>
  <si>
    <t>Payment Type</t>
  </si>
  <si>
    <t>VISA -2785</t>
  </si>
  <si>
    <t>VISA SW Rapid Rewards+</t>
  </si>
  <si>
    <t>VISA Personal</t>
  </si>
  <si>
    <t>Southwest Flight Credit</t>
  </si>
  <si>
    <t>TOTAL</t>
  </si>
  <si>
    <t>OPEN ITEMS BEFORE SUBMISSION</t>
  </si>
  <si>
    <t>Confirm submission channel (Shilpa Bhando vs. other Unifocus contact).</t>
  </si>
  <si>
    <t>Meals confirmed reimbursement-eligible (Pete, 7/4/26); per-diem caps and documentation rules still unconfirmed.</t>
  </si>
  <si>
    <t>EXCLUDED ITEMS - Personal / Non-Reimbursable</t>
  </si>
  <si>
    <t>None - no personal or excluded expenses on this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</si>
</sst>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4" fillId="4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49" fontId="0" fillId="0" borderId="0" xfId="0" applyNumberFormat="1"/>
    <xf numFmtId="0" fontId="4" fillId="4" borderId="0" xfId="0" applyFont="1" applyFill="1" applyAlignment="1">
      <alignment horizontal="center"/>
    </xf>
    <xf numFmtId="0" fontId="1" fillId="3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36DD-DC8D-49BE-8364-D9C478FA3A24}">
  <sheetPr>
    <tabColor rgb="FF64381F"/>
  </sheetPr>
  <dimension ref="A1:E26"/>
  <sheetViews>
    <sheetView tabSelected="1" workbookViewId="0">
      <selection sqref="A1:E1"/>
    </sheetView>
  </sheetViews>
  <sheetFormatPr defaultRowHeight="14.5" x14ac:dyDescent="0.35"/>
  <cols>
    <col min="1" max="1" width="22.6328125" customWidth="1"/>
    <col min="2" max="2" width="28.6328125" customWidth="1"/>
    <col min="3" max="3" width="14.6328125" customWidth="1"/>
    <col min="4" max="5" width="12.6328125" customWidth="1"/>
  </cols>
  <sheetData>
    <row r="1" spans="1:5" ht="24" customHeight="1" x14ac:dyDescent="0.45">
      <c r="A1" s="20" t="s">
        <v>24</v>
      </c>
      <c r="B1" s="3"/>
      <c r="C1" s="3"/>
      <c r="D1" s="3"/>
      <c r="E1" s="3"/>
    </row>
    <row r="2" spans="1:5" x14ac:dyDescent="0.35">
      <c r="A2" s="5" t="s">
        <v>25</v>
      </c>
      <c r="B2" s="21" t="s">
        <v>26</v>
      </c>
      <c r="C2" s="21"/>
      <c r="D2" s="21"/>
      <c r="E2" s="21"/>
    </row>
    <row r="3" spans="1:5" x14ac:dyDescent="0.35">
      <c r="A3" s="5" t="s">
        <v>27</v>
      </c>
      <c r="B3" s="21" t="s">
        <v>28</v>
      </c>
      <c r="C3" s="21"/>
      <c r="D3" s="21"/>
      <c r="E3" s="21"/>
    </row>
    <row r="4" spans="1:5" x14ac:dyDescent="0.35">
      <c r="A4" s="5" t="s">
        <v>29</v>
      </c>
      <c r="B4" s="21" t="s">
        <v>30</v>
      </c>
      <c r="C4" s="21"/>
      <c r="D4" s="21"/>
      <c r="E4" s="21"/>
    </row>
    <row r="5" spans="1:5" x14ac:dyDescent="0.35">
      <c r="A5" s="5" t="s">
        <v>31</v>
      </c>
      <c r="B5" s="21" t="s">
        <v>32</v>
      </c>
      <c r="C5" s="21"/>
      <c r="D5" s="21"/>
      <c r="E5" s="21"/>
    </row>
    <row r="6" spans="1:5" x14ac:dyDescent="0.35">
      <c r="A6" s="5" t="s">
        <v>33</v>
      </c>
      <c r="B6" s="21" t="s">
        <v>34</v>
      </c>
      <c r="C6" s="21"/>
      <c r="D6" s="21"/>
      <c r="E6" s="21"/>
    </row>
    <row r="7" spans="1:5" x14ac:dyDescent="0.35">
      <c r="A7" s="5" t="s">
        <v>35</v>
      </c>
      <c r="B7" s="21" t="s">
        <v>36</v>
      </c>
      <c r="C7" s="21"/>
      <c r="D7" s="21"/>
      <c r="E7" s="21"/>
    </row>
    <row r="9" spans="1:5" x14ac:dyDescent="0.35">
      <c r="A9" s="22" t="s">
        <v>37</v>
      </c>
      <c r="B9" s="3"/>
      <c r="C9" s="3"/>
      <c r="D9" s="3"/>
      <c r="E9" s="3"/>
    </row>
    <row r="10" spans="1:5" x14ac:dyDescent="0.35">
      <c r="A10" s="23" t="s">
        <v>4</v>
      </c>
      <c r="B10" s="23" t="s">
        <v>5</v>
      </c>
      <c r="C10" s="23" t="s">
        <v>38</v>
      </c>
    </row>
    <row r="11" spans="1:5" x14ac:dyDescent="0.35">
      <c r="A11" s="13" t="s">
        <v>9</v>
      </c>
      <c r="B11" s="14">
        <v>739.3</v>
      </c>
      <c r="C11" s="16">
        <v>4</v>
      </c>
    </row>
    <row r="12" spans="1:5" x14ac:dyDescent="0.35">
      <c r="A12" s="24" t="s">
        <v>15</v>
      </c>
      <c r="B12" s="25">
        <v>53.9</v>
      </c>
      <c r="C12" s="26">
        <v>2</v>
      </c>
    </row>
    <row r="13" spans="1:5" x14ac:dyDescent="0.35">
      <c r="A13" s="13" t="s">
        <v>19</v>
      </c>
      <c r="B13" s="14">
        <v>47.85</v>
      </c>
      <c r="C13" s="16">
        <v>1</v>
      </c>
    </row>
    <row r="14" spans="1:5" x14ac:dyDescent="0.35">
      <c r="A14" s="18" t="s">
        <v>23</v>
      </c>
      <c r="B14" s="19">
        <f>SUM(B11:B13)</f>
        <v>841.05</v>
      </c>
      <c r="C14" s="17"/>
    </row>
    <row r="16" spans="1:5" x14ac:dyDescent="0.35">
      <c r="A16" s="22" t="s">
        <v>39</v>
      </c>
      <c r="B16" s="3"/>
      <c r="C16" s="3"/>
      <c r="D16" s="3"/>
      <c r="E16" s="3"/>
    </row>
    <row r="17" spans="1:5" x14ac:dyDescent="0.35">
      <c r="A17" s="23" t="s">
        <v>40</v>
      </c>
      <c r="B17" s="23" t="s">
        <v>3</v>
      </c>
      <c r="C17" s="23" t="s">
        <v>5</v>
      </c>
    </row>
    <row r="18" spans="1:5" x14ac:dyDescent="0.35">
      <c r="A18" s="27" t="s">
        <v>10</v>
      </c>
      <c r="B18" s="24" t="s">
        <v>41</v>
      </c>
      <c r="C18" s="25">
        <v>288.98</v>
      </c>
    </row>
    <row r="19" spans="1:5" x14ac:dyDescent="0.35">
      <c r="A19" s="15" t="s">
        <v>20</v>
      </c>
      <c r="B19" s="13" t="s">
        <v>42</v>
      </c>
      <c r="C19" s="14">
        <v>63.35</v>
      </c>
    </row>
    <row r="20" spans="1:5" x14ac:dyDescent="0.35">
      <c r="A20" s="27" t="s">
        <v>16</v>
      </c>
      <c r="B20" s="24" t="s">
        <v>43</v>
      </c>
      <c r="C20" s="25">
        <v>53.9</v>
      </c>
    </row>
    <row r="21" spans="1:5" x14ac:dyDescent="0.35">
      <c r="A21" s="15" t="s">
        <v>13</v>
      </c>
      <c r="B21" s="13" t="s">
        <v>44</v>
      </c>
      <c r="C21" s="14">
        <v>434.82</v>
      </c>
    </row>
    <row r="22" spans="1:5" x14ac:dyDescent="0.35">
      <c r="A22" s="18" t="s">
        <v>45</v>
      </c>
      <c r="B22" s="17"/>
      <c r="C22" s="19">
        <f>SUM(C18:C21)</f>
        <v>841.05</v>
      </c>
    </row>
    <row r="24" spans="1:5" x14ac:dyDescent="0.35">
      <c r="A24" s="28" t="s">
        <v>46</v>
      </c>
      <c r="B24" s="3"/>
      <c r="C24" s="3"/>
      <c r="D24" s="3"/>
      <c r="E24" s="3"/>
    </row>
    <row r="25" spans="1:5" x14ac:dyDescent="0.35">
      <c r="A25" s="1" t="s">
        <v>47</v>
      </c>
      <c r="B25" s="1"/>
      <c r="C25" s="1"/>
      <c r="D25" s="1"/>
      <c r="E25" s="1"/>
    </row>
    <row r="26" spans="1:5" x14ac:dyDescent="0.35">
      <c r="A26" s="1" t="s">
        <v>48</v>
      </c>
      <c r="B26" s="1"/>
      <c r="C26" s="1"/>
      <c r="D26" s="1"/>
      <c r="E26" s="1"/>
    </row>
  </sheetData>
  <mergeCells count="12">
    <mergeCell ref="B7:E7"/>
    <mergeCell ref="A9:E9"/>
    <mergeCell ref="A16:E16"/>
    <mergeCell ref="A24:E24"/>
    <mergeCell ref="A25:E25"/>
    <mergeCell ref="A26:E26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DDCB-E843-4E97-92B5-6725580FA127}">
  <sheetPr>
    <tabColor rgb="FFB6752E"/>
  </sheetPr>
  <dimension ref="A1:F11"/>
  <sheetViews>
    <sheetView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0.6328125" customWidth="1"/>
    <col min="2" max="2" width="52.6328125" customWidth="1"/>
    <col min="3" max="3" width="16.6328125" customWidth="1"/>
    <col min="4" max="5" width="12.6328125" customWidth="1"/>
    <col min="6" max="6" width="10.6328125" customWidth="1"/>
  </cols>
  <sheetData>
    <row r="1" spans="1:6" ht="22" customHeight="1" x14ac:dyDescent="0.4">
      <c r="A1" s="2" t="s">
        <v>0</v>
      </c>
      <c r="B1" s="3"/>
      <c r="C1" s="3"/>
      <c r="D1" s="3"/>
      <c r="E1" s="3"/>
      <c r="F1" s="3"/>
    </row>
    <row r="2" spans="1:6" x14ac:dyDescent="0.35">
      <c r="A2" s="4" t="s">
        <v>1</v>
      </c>
      <c r="B2" s="3"/>
      <c r="C2" s="3"/>
      <c r="D2" s="3"/>
      <c r="E2" s="3"/>
      <c r="F2" s="3"/>
    </row>
    <row r="3" spans="1:6" ht="16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x14ac:dyDescent="0.35">
      <c r="A4" s="7">
        <v>46195</v>
      </c>
      <c r="B4" s="8" t="s">
        <v>8</v>
      </c>
      <c r="C4" s="8" t="s">
        <v>9</v>
      </c>
      <c r="D4" s="9">
        <v>288.98</v>
      </c>
      <c r="E4" s="10" t="s">
        <v>10</v>
      </c>
      <c r="F4" s="11" t="s">
        <v>11</v>
      </c>
    </row>
    <row r="5" spans="1:6" x14ac:dyDescent="0.35">
      <c r="A5" s="12">
        <v>46195</v>
      </c>
      <c r="B5" s="13" t="s">
        <v>12</v>
      </c>
      <c r="C5" s="13" t="s">
        <v>9</v>
      </c>
      <c r="D5" s="14">
        <v>161.12</v>
      </c>
      <c r="E5" s="15" t="s">
        <v>13</v>
      </c>
      <c r="F5" s="16" t="s">
        <v>11</v>
      </c>
    </row>
    <row r="6" spans="1:6" x14ac:dyDescent="0.35">
      <c r="A6" s="7">
        <v>46195</v>
      </c>
      <c r="B6" s="8" t="s">
        <v>14</v>
      </c>
      <c r="C6" s="8" t="s">
        <v>15</v>
      </c>
      <c r="D6" s="9">
        <v>32.950000000000003</v>
      </c>
      <c r="E6" s="10" t="s">
        <v>16</v>
      </c>
      <c r="F6" s="11" t="s">
        <v>11</v>
      </c>
    </row>
    <row r="7" spans="1:6" x14ac:dyDescent="0.35">
      <c r="A7" s="12">
        <v>46199</v>
      </c>
      <c r="B7" s="13" t="s">
        <v>17</v>
      </c>
      <c r="C7" s="13" t="s">
        <v>15</v>
      </c>
      <c r="D7" s="14">
        <v>20.95</v>
      </c>
      <c r="E7" s="15" t="s">
        <v>16</v>
      </c>
      <c r="F7" s="16" t="s">
        <v>11</v>
      </c>
    </row>
    <row r="8" spans="1:6" x14ac:dyDescent="0.35">
      <c r="A8" s="7">
        <v>46199</v>
      </c>
      <c r="B8" s="8" t="s">
        <v>18</v>
      </c>
      <c r="C8" s="8" t="s">
        <v>19</v>
      </c>
      <c r="D8" s="9">
        <v>47.85</v>
      </c>
      <c r="E8" s="10" t="s">
        <v>20</v>
      </c>
      <c r="F8" s="11" t="s">
        <v>11</v>
      </c>
    </row>
    <row r="9" spans="1:6" x14ac:dyDescent="0.35">
      <c r="A9" s="12">
        <v>46199</v>
      </c>
      <c r="B9" s="13" t="s">
        <v>21</v>
      </c>
      <c r="C9" s="13" t="s">
        <v>9</v>
      </c>
      <c r="D9" s="14">
        <v>15.5</v>
      </c>
      <c r="E9" s="15" t="s">
        <v>20</v>
      </c>
      <c r="F9" s="16" t="s">
        <v>11</v>
      </c>
    </row>
    <row r="10" spans="1:6" x14ac:dyDescent="0.35">
      <c r="A10" s="7">
        <v>46199</v>
      </c>
      <c r="B10" s="8" t="s">
        <v>22</v>
      </c>
      <c r="C10" s="8" t="s">
        <v>9</v>
      </c>
      <c r="D10" s="9">
        <v>273.7</v>
      </c>
      <c r="E10" s="10" t="s">
        <v>13</v>
      </c>
      <c r="F10" s="11" t="s">
        <v>11</v>
      </c>
    </row>
    <row r="11" spans="1:6" x14ac:dyDescent="0.35">
      <c r="A11" s="17"/>
      <c r="B11" s="18" t="s">
        <v>23</v>
      </c>
      <c r="C11" s="17"/>
      <c r="D11" s="19">
        <f>SUMIF(F4:F10,"Yes",D4:D10)</f>
        <v>841.05</v>
      </c>
      <c r="E11" s="17"/>
      <c r="F11" s="17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E703-7062-4A09-ACBF-425F1DC80295}">
  <sheetPr>
    <tabColor rgb="FF0000C0"/>
  </sheetPr>
  <dimension ref="A1:A2"/>
  <sheetViews>
    <sheetView workbookViewId="0"/>
  </sheetViews>
  <sheetFormatPr defaultRowHeight="14.5" x14ac:dyDescent="0.35"/>
  <cols>
    <col min="1" max="1" width="60.6328125" customWidth="1"/>
  </cols>
  <sheetData>
    <row r="1" spans="1:1" ht="22" customHeight="1" x14ac:dyDescent="0.4">
      <c r="A1" s="29" t="s">
        <v>49</v>
      </c>
    </row>
    <row r="2" spans="1:1" x14ac:dyDescent="0.35">
      <c r="A2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Expenses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2026-07-05T17:30:56Z</dcterms:created>
  <dcterms:modified xsi:type="dcterms:W3CDTF">2026-07-05T17:30:58Z</dcterms:modified>
</cp:coreProperties>
</file>