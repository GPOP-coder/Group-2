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13_ncr:1_{B67ACEE5-E8EA-4D76-9030-7374EC0BDFA8}" xr6:coauthVersionLast="47" xr6:coauthVersionMax="47" xr10:uidLastSave="{00000000-0000-0000-0000-000000000000}"/>
  <bookViews>
    <workbookView xWindow="37185" yWindow="5685" windowWidth="22695" windowHeight="11175" xr2:uid="{3F59C997-EBE1-4E7C-8D20-16AA73BC725E}"/>
  </bookViews>
  <sheets>
    <sheet name="ER Detail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1" l="1"/>
  <c r="B33" i="1"/>
  <c r="E33" i="1"/>
  <c r="B32" i="1"/>
  <c r="E32" i="1"/>
  <c r="B31" i="1"/>
  <c r="E31" i="1"/>
  <c r="B30" i="1"/>
  <c r="E30" i="1"/>
  <c r="B29" i="1"/>
  <c r="E29" i="1"/>
  <c r="B28" i="1"/>
  <c r="E28" i="1"/>
  <c r="B27" i="1"/>
  <c r="E27" i="1"/>
  <c r="B26" i="1"/>
  <c r="E26" i="1"/>
  <c r="B25" i="1"/>
  <c r="E25" i="1"/>
  <c r="B24" i="1"/>
  <c r="E24" i="1"/>
  <c r="B23" i="1"/>
  <c r="E23" i="1"/>
  <c r="B22" i="1"/>
  <c r="E22" i="1"/>
  <c r="B21" i="1"/>
  <c r="E21" i="1"/>
  <c r="B20" i="1"/>
  <c r="E20" i="1"/>
  <c r="B19" i="1"/>
  <c r="E19" i="1"/>
  <c r="B18" i="1"/>
  <c r="E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<sst xmlns="http://schemas.openxmlformats.org/spreadsheetml/2006/main" count="106" uniqueCount="63">
  <si>
    <t>UNIFOCUS EXPENSE REPORT  |  Nashville - HMAlpha Corporate Admin Training</t>
  </si>
  <si>
    <t>Start Date:</t>
  </si>
  <si>
    <t>End Date:</t>
  </si>
  <si>
    <t>NAME:</t>
  </si>
  <si>
    <t>Pete Castellano</t>
  </si>
  <si>
    <t>Date</t>
  </si>
  <si>
    <t>Day</t>
  </si>
  <si>
    <t>Amount</t>
  </si>
  <si>
    <t>Exchange Rate</t>
  </si>
  <si>
    <t>Amt in USD</t>
  </si>
  <si>
    <t>Paid by</t>
  </si>
  <si>
    <t>Details</t>
  </si>
  <si>
    <t>Category</t>
  </si>
  <si>
    <t>Billable/UF</t>
  </si>
  <si>
    <t>Charge Code</t>
  </si>
  <si>
    <t>PERSONAL</t>
  </si>
  <si>
    <t>SW round-trip OMA-BNA (BEU2FS): outbound OMA-DEN-BNA (WN2060/WN570); return BNA-STL-OMA 7/16 (WN770/WN4912) - RR Visa -2674</t>
  </si>
  <si>
    <t>Air Fare</t>
  </si>
  <si>
    <t>HM Alpha - Corporate Admin Training Nashville</t>
  </si>
  <si>
    <t/>
  </si>
  <si>
    <t>445 Bar 14, Omaha Airport (OMA) - sausage/egg/cheese sandwich, Coke Zero, tip; Visa -7552</t>
  </si>
  <si>
    <t>Bkfst</t>
  </si>
  <si>
    <t>HMSHost Great Divide C, Denver Airport (DEN) - bison burger, medium fries, soda, tip; Chase VISA -2674</t>
  </si>
  <si>
    <t>Lunch</t>
  </si>
  <si>
    <t>Uber, BNA Airport -&gt; The Nashville Reserve (301 Rosa L Parks Ave) - UberX, 9.32 mi/19 min, driver Yoseph; Visa -0733 (FNBO Evergreen)</t>
  </si>
  <si>
    <t>Taxi/Train/Bus</t>
  </si>
  <si>
    <t>Earls Nashville Yards, 26 Platform Way South, Nashville TN - crispy tuna, little gem caesar, iced tea, toffee cake, tip; Chase VISA -2674</t>
  </si>
  <si>
    <t>Dinner</t>
  </si>
  <si>
    <t>The Nashville Reserve, 301 Rosa L Parks Ave Nashville TN - 3 nights (7/13-7/16), Studio Suite; Hotels.com itinerary 73493828457425; Visa -2785</t>
  </si>
  <si>
    <t>Hotel</t>
  </si>
  <si>
    <t>Nick The Greek, 943 Church St, Nashville TN - beef/lamb gyro bowl, pita &amp; drink, tip; Chase VISA -2674</t>
  </si>
  <si>
    <t>Assembly Food Hall (Honey Fire Barbeque), 5055 Broadway Pl, Nashville TN - chicken sandwich, baked beans, fountain drink, tip; Chase VISA -2674</t>
  </si>
  <si>
    <t>Sixty Vines, 5055 Broadway Pl Ste 3200, Nashville TN - pan roasted chicken, broccolini, Coke, sticky toffee cake, tip; Chase VISA -2674</t>
  </si>
  <si>
    <t>Uber, The Nashville Reserve (990 Signal Crossing) -&gt; BNA Airport - UberX, 9.57 mi/39 min, driver Chansamone; Visa -2674 (Southwest Pete)</t>
  </si>
  <si>
    <t>HMSHost Yazoo Beer Cart C, Nashville Airport (BNA) - chicken Caesar wrap, Coke Zero, Reese's King Size; Chase VISA -2674</t>
  </si>
  <si>
    <t>Three Kings (HMSHost), Lambert-St. Louis International Airport (STL) - grilled chicken sandwich (fries, no lettuce), iced tea, tip; Chase VISA -2674</t>
  </si>
  <si>
    <t>Uber, OMA Airport -&gt; home (13606 S 20th St, Bellevue NE) - UberX, 17.78 mi/22 min, driver Cory; Visa -2674 (Southwest Pete)</t>
  </si>
  <si>
    <t>TOTAL</t>
  </si>
  <si>
    <t>UNIFOCUS ER QUICK REFERENCE (from ER Cheat Sheet.pdf, dated 5/10/2021 - verify still current with Ralph if in doubt)</t>
  </si>
  <si>
    <t>Paid by: UF (Unifocus paid directly), PERSONAL (you paid), OTHER (company card).</t>
  </si>
  <si>
    <t>Category: Air Fare, Taxi/Train/Bus, Car Rental, Gas/Tolls, Parking, Hotel, Bkfst, Lunch, Dinner, Phone/Data, Computer, Other, Postage, Misc.</t>
  </si>
  <si>
    <t xml:space="preserve">  -&gt; Meals are split by meal period (Bkfst/Lunch/Dinner), not one generic Meals line.</t>
  </si>
  <si>
    <t>Billable/UF: enter the client name (HM Alpha - Corporate Admin Training Nashville), or UF if not client-billable.</t>
  </si>
  <si>
    <t>Charge Code: leave BLANK when a client is billed. Only use code 62 if Unifocus itself is billed.</t>
  </si>
  <si>
    <t>Exchange Rate: always 1.00 for domestic travel.</t>
  </si>
  <si>
    <t>SUBMISSION (to Ralph Varble):</t>
  </si>
  <si>
    <t>- New email with two attachments: (1) completed Excel, named with your last name, (2) receipts as separate attachments or one combined PDF.</t>
  </si>
  <si>
    <t>- Airfare: original travel confirmation email is fine.</t>
  </si>
  <si>
    <t>- Meals/taxi: clear photo, amount and date legible.</t>
  </si>
  <si>
    <t>- Extra tip noted non-reimbursable (445 Bar 14, 7/13): only .59 claimed; .60 cash tip excluded.</t>
  </si>
  <si>
    <t>OPEN ITEMS — add as receipts come in:</t>
  </si>
  <si>
    <t>- Hotel (3 nights, 7/13-7/16) — The Nashville Reserve, .05 total (Visa -2785) ADDED</t>
  </si>
  <si>
    <t>- Ground transport BNA airport → hotel (7/13) — Uber, .58 (Visa -0733 FNBO Evergreen) ADDED</t>
  </si>
  <si>
    <t>- Ground transport hotel → BNA airport (7/16) — Uber, .81 (Visa -2674 Southwest Pete) ADDED</t>
  </si>
  <si>
    <t>- Lunch 7/13 — HMSHost Great Divide C, Denver Airport (DEN), .38 (Chase VISA -2674) ADDED</t>
  </si>
  <si>
    <t>- Dinner 7/13 — Earls Nashville Yards, .64 (Chase VISA -2674) ADDED</t>
  </si>
  <si>
    <t>- Lunch 7/14 — Nick The Greek, Nashville, .63 (Chase VISA -2674) ADDED</t>
  </si>
  <si>
    <t>- Dinner 7/14 — Assembly Food Hall (Honey Fire BBQ), Nashville, .53 (Chase VISA -2674) ADDED</t>
  </si>
  <si>
    <t>- Dinner 7/15 — Sixty Vines, Nashville, .52 (Chase VISA -2674) ADDED; no breakfast or lunch 7/15</t>
  </si>
  <si>
    <t>- Lunch 7/16 — HMSHost Yazoo Beer Cart C, Nashville Airport (BNA), .86 (Chase VISA -2674) ADDED</t>
  </si>
  <si>
    <t>- Shipley Do-Nuts, 7/16, .37 cash — EXCLUDED (cash snack, Pete flagged)</t>
  </si>
  <si>
    <t>- Dinner 7/16 — Three Kings (HMSHost), STL Airport layover, .48 (Chase VISA -2674) ADDED</t>
  </si>
  <si>
    <t>- Ground transport OMA airport → home (7/16) — Uber, .54 (Visa -2674 Southwest Pete)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</si>
</sst>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4" fontId="0" fillId="3" borderId="0" xfId="0" applyNumberFormat="1" applyFill="1"/>
    <xf numFmtId="0" fontId="0" fillId="4" borderId="0" xfId="0" applyFill="1"/>
    <xf numFmtId="0" fontId="3" fillId="5" borderId="1" xfId="0" applyFont="1" applyFill="1" applyBorder="1" applyAlignment="1">
      <alignment horizontal="center" wrapText="1"/>
    </xf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49" fontId="0" fillId="4" borderId="1" xfId="0" applyNumberFormat="1" applyFill="1" applyBorder="1"/>
    <xf numFmtId="164" fontId="0" fillId="6" borderId="1" xfId="0" applyNumberFormat="1" applyFill="1" applyBorder="1"/>
    <xf numFmtId="49" fontId="0" fillId="6" borderId="1" xfId="0" applyNumberFormat="1" applyFill="1" applyBorder="1"/>
    <xf numFmtId="0" fontId="0" fillId="2" borderId="1" xfId="0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9901-A0C4-4224-960E-04ED0FBCECA1}">
  <sheetPr>
    <tabColor rgb="FFB6752E"/>
    <pageSetUpPr fitToPage="1"/>
  </sheetPr>
  <dimension ref="A1:J34"/>
  <sheetViews>
    <sheetView tabSelected="1" workbookViewId="0">
      <pane ySplit="4" topLeftCell="A5" activePane="bottomLeft" state="frozen"/>
      <selection pane="bottomLeft" activeCell="C14" sqref="C14:C17"/>
    </sheetView>
  </sheetViews>
  <sheetFormatPr defaultRowHeight="14.5" x14ac:dyDescent="0.35"/>
  <cols>
    <col min="1" max="1" width="10.6328125" customWidth="1"/>
    <col min="2" max="2" width="9.08984375" bestFit="1" customWidth="1"/>
    <col min="3" max="3" width="10.6328125" customWidth="1"/>
    <col min="4" max="4" width="9.6328125" customWidth="1"/>
    <col min="5" max="5" width="11.6328125" customWidth="1"/>
    <col min="6" max="6" width="10.6328125" customWidth="1"/>
    <col min="7" max="7" width="48.6328125" customWidth="1"/>
    <col min="8" max="8" width="12.6328125" customWidth="1"/>
    <col min="9" max="9" width="30.6328125" customWidth="1"/>
    <col min="10" max="10" width="10.6328125" customWidth="1"/>
  </cols>
  <sheetData>
    <row r="1" spans="1:10" ht="22" customHeight="1" x14ac:dyDescent="0.4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5">
      <c r="A2" s="1" t="s">
        <v>1</v>
      </c>
      <c r="B2" s="2">
        <v>46216</v>
      </c>
      <c r="D2" s="1" t="s">
        <v>2</v>
      </c>
      <c r="E2" s="2">
        <v>46219</v>
      </c>
      <c r="G2" s="1" t="s">
        <v>3</v>
      </c>
      <c r="H2" s="3" t="s">
        <v>4</v>
      </c>
    </row>
    <row r="4" spans="1:10" ht="28" customHeight="1" x14ac:dyDescent="0.3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35">
      <c r="A5" s="5">
        <v>46216</v>
      </c>
      <c r="B5" s="6" t="str">
        <f t="shared" ref="B5:B17" si="0">TEXT(A5,"ddd")</f>
        <v>Mon</v>
      </c>
      <c r="C5" s="7">
        <v>888.41</v>
      </c>
      <c r="D5" s="8">
        <v>1</v>
      </c>
      <c r="E5" s="7">
        <f t="shared" ref="E5:E33" si="1">C5*D5</f>
        <v>888.41</v>
      </c>
      <c r="F5" s="6" t="s">
        <v>15</v>
      </c>
      <c r="G5" s="9" t="s">
        <v>16</v>
      </c>
      <c r="H5" s="6" t="s">
        <v>17</v>
      </c>
      <c r="I5" s="9" t="s">
        <v>18</v>
      </c>
      <c r="J5" s="10" t="s">
        <v>19</v>
      </c>
    </row>
    <row r="6" spans="1:10" x14ac:dyDescent="0.35">
      <c r="A6" s="11">
        <v>46216</v>
      </c>
      <c r="B6" s="12" t="str">
        <f t="shared" si="0"/>
        <v>Mon</v>
      </c>
      <c r="C6" s="13">
        <v>21.59</v>
      </c>
      <c r="D6" s="14">
        <v>1</v>
      </c>
      <c r="E6" s="13">
        <f t="shared" si="1"/>
        <v>21.59</v>
      </c>
      <c r="F6" s="12" t="s">
        <v>15</v>
      </c>
      <c r="G6" s="15" t="s">
        <v>20</v>
      </c>
      <c r="H6" s="12" t="s">
        <v>21</v>
      </c>
      <c r="I6" s="15" t="s">
        <v>18</v>
      </c>
      <c r="J6" s="16" t="s">
        <v>19</v>
      </c>
    </row>
    <row r="7" spans="1:10" x14ac:dyDescent="0.35">
      <c r="A7" s="5">
        <v>46216</v>
      </c>
      <c r="B7" s="6" t="str">
        <f t="shared" si="0"/>
        <v>Mon</v>
      </c>
      <c r="C7" s="7">
        <v>38.380000000000003</v>
      </c>
      <c r="D7" s="8">
        <v>1</v>
      </c>
      <c r="E7" s="7">
        <f t="shared" si="1"/>
        <v>38.380000000000003</v>
      </c>
      <c r="F7" s="6" t="s">
        <v>15</v>
      </c>
      <c r="G7" s="9" t="s">
        <v>22</v>
      </c>
      <c r="H7" s="6" t="s">
        <v>23</v>
      </c>
      <c r="I7" s="9" t="s">
        <v>18</v>
      </c>
      <c r="J7" s="10" t="s">
        <v>19</v>
      </c>
    </row>
    <row r="8" spans="1:10" x14ac:dyDescent="0.35">
      <c r="A8" s="11">
        <v>46216</v>
      </c>
      <c r="B8" s="12" t="str">
        <f t="shared" si="0"/>
        <v>Mon</v>
      </c>
      <c r="C8" s="13">
        <v>32.58</v>
      </c>
      <c r="D8" s="14">
        <v>1</v>
      </c>
      <c r="E8" s="13">
        <f t="shared" si="1"/>
        <v>32.58</v>
      </c>
      <c r="F8" s="12" t="s">
        <v>15</v>
      </c>
      <c r="G8" s="15" t="s">
        <v>24</v>
      </c>
      <c r="H8" s="12" t="s">
        <v>25</v>
      </c>
      <c r="I8" s="15" t="s">
        <v>18</v>
      </c>
      <c r="J8" s="16" t="s">
        <v>19</v>
      </c>
    </row>
    <row r="9" spans="1:10" x14ac:dyDescent="0.35">
      <c r="A9" s="5">
        <v>46216</v>
      </c>
      <c r="B9" s="6" t="str">
        <f t="shared" si="0"/>
        <v>Mon</v>
      </c>
      <c r="C9" s="7">
        <v>83.64</v>
      </c>
      <c r="D9" s="8">
        <v>1</v>
      </c>
      <c r="E9" s="7">
        <f t="shared" si="1"/>
        <v>83.64</v>
      </c>
      <c r="F9" s="6" t="s">
        <v>15</v>
      </c>
      <c r="G9" s="9" t="s">
        <v>26</v>
      </c>
      <c r="H9" s="6" t="s">
        <v>27</v>
      </c>
      <c r="I9" s="9" t="s">
        <v>18</v>
      </c>
      <c r="J9" s="10" t="s">
        <v>19</v>
      </c>
    </row>
    <row r="10" spans="1:10" x14ac:dyDescent="0.35">
      <c r="A10" s="11">
        <v>46216</v>
      </c>
      <c r="B10" s="12" t="str">
        <f t="shared" si="0"/>
        <v>Mon</v>
      </c>
      <c r="C10" s="13">
        <v>694.05</v>
      </c>
      <c r="D10" s="14">
        <v>1</v>
      </c>
      <c r="E10" s="13">
        <f t="shared" si="1"/>
        <v>694.05</v>
      </c>
      <c r="F10" s="12" t="s">
        <v>15</v>
      </c>
      <c r="G10" s="15" t="s">
        <v>28</v>
      </c>
      <c r="H10" s="12" t="s">
        <v>29</v>
      </c>
      <c r="I10" s="15" t="s">
        <v>18</v>
      </c>
      <c r="J10" s="16" t="s">
        <v>19</v>
      </c>
    </row>
    <row r="11" spans="1:10" x14ac:dyDescent="0.35">
      <c r="A11" s="5">
        <v>46217</v>
      </c>
      <c r="B11" s="6" t="str">
        <f t="shared" si="0"/>
        <v>Tue</v>
      </c>
      <c r="C11" s="7">
        <v>20.63</v>
      </c>
      <c r="D11" s="8">
        <v>1</v>
      </c>
      <c r="E11" s="7">
        <f t="shared" si="1"/>
        <v>20.63</v>
      </c>
      <c r="F11" s="6" t="s">
        <v>15</v>
      </c>
      <c r="G11" s="9" t="s">
        <v>30</v>
      </c>
      <c r="H11" s="6" t="s">
        <v>23</v>
      </c>
      <c r="I11" s="9" t="s">
        <v>18</v>
      </c>
      <c r="J11" s="10" t="s">
        <v>19</v>
      </c>
    </row>
    <row r="12" spans="1:10" x14ac:dyDescent="0.35">
      <c r="A12" s="11">
        <v>46217</v>
      </c>
      <c r="B12" s="12" t="str">
        <f t="shared" si="0"/>
        <v>Tue</v>
      </c>
      <c r="C12" s="13">
        <v>22.53</v>
      </c>
      <c r="D12" s="14">
        <v>1</v>
      </c>
      <c r="E12" s="13">
        <f t="shared" si="1"/>
        <v>22.53</v>
      </c>
      <c r="F12" s="12" t="s">
        <v>15</v>
      </c>
      <c r="G12" s="15" t="s">
        <v>31</v>
      </c>
      <c r="H12" s="12" t="s">
        <v>27</v>
      </c>
      <c r="I12" s="15" t="s">
        <v>18</v>
      </c>
      <c r="J12" s="16" t="s">
        <v>19</v>
      </c>
    </row>
    <row r="13" spans="1:10" x14ac:dyDescent="0.35">
      <c r="A13" s="5">
        <v>46218</v>
      </c>
      <c r="B13" s="6" t="str">
        <f t="shared" si="0"/>
        <v>Wed</v>
      </c>
      <c r="C13" s="7">
        <v>60.52</v>
      </c>
      <c r="D13" s="8">
        <v>1</v>
      </c>
      <c r="E13" s="7">
        <f t="shared" si="1"/>
        <v>60.52</v>
      </c>
      <c r="F13" s="6" t="s">
        <v>15</v>
      </c>
      <c r="G13" s="9" t="s">
        <v>32</v>
      </c>
      <c r="H13" s="6" t="s">
        <v>27</v>
      </c>
      <c r="I13" s="9" t="s">
        <v>18</v>
      </c>
      <c r="J13" s="10" t="s">
        <v>19</v>
      </c>
    </row>
    <row r="14" spans="1:10" x14ac:dyDescent="0.35">
      <c r="A14" s="11">
        <v>46219</v>
      </c>
      <c r="B14" s="12" t="str">
        <f t="shared" si="0"/>
        <v>Thu</v>
      </c>
      <c r="C14" s="13">
        <v>43.81</v>
      </c>
      <c r="D14" s="14">
        <v>1</v>
      </c>
      <c r="E14" s="13">
        <f t="shared" si="1"/>
        <v>43.81</v>
      </c>
      <c r="F14" s="12" t="s">
        <v>15</v>
      </c>
      <c r="G14" s="15" t="s">
        <v>33</v>
      </c>
      <c r="H14" s="12" t="s">
        <v>25</v>
      </c>
      <c r="I14" s="15" t="s">
        <v>18</v>
      </c>
      <c r="J14" s="16" t="s">
        <v>19</v>
      </c>
    </row>
    <row r="15" spans="1:10" x14ac:dyDescent="0.35">
      <c r="A15" s="5">
        <v>46219</v>
      </c>
      <c r="B15" s="6" t="str">
        <f t="shared" si="0"/>
        <v>Thu</v>
      </c>
      <c r="C15" s="7">
        <v>26.86</v>
      </c>
      <c r="D15" s="8">
        <v>1</v>
      </c>
      <c r="E15" s="7">
        <f t="shared" si="1"/>
        <v>26.86</v>
      </c>
      <c r="F15" s="6" t="s">
        <v>15</v>
      </c>
      <c r="G15" s="9" t="s">
        <v>34</v>
      </c>
      <c r="H15" s="6" t="s">
        <v>23</v>
      </c>
      <c r="I15" s="9" t="s">
        <v>18</v>
      </c>
      <c r="J15" s="10" t="s">
        <v>19</v>
      </c>
    </row>
    <row r="16" spans="1:10" x14ac:dyDescent="0.35">
      <c r="A16" s="11">
        <v>46219</v>
      </c>
      <c r="B16" s="12" t="str">
        <f t="shared" si="0"/>
        <v>Thu</v>
      </c>
      <c r="C16" s="13">
        <v>30.48</v>
      </c>
      <c r="D16" s="14">
        <v>1</v>
      </c>
      <c r="E16" s="13">
        <f t="shared" si="1"/>
        <v>30.48</v>
      </c>
      <c r="F16" s="12" t="s">
        <v>15</v>
      </c>
      <c r="G16" s="15" t="s">
        <v>35</v>
      </c>
      <c r="H16" s="12" t="s">
        <v>27</v>
      </c>
      <c r="I16" s="15" t="s">
        <v>18</v>
      </c>
      <c r="J16" s="16" t="s">
        <v>19</v>
      </c>
    </row>
    <row r="17" spans="1:10" x14ac:dyDescent="0.35">
      <c r="A17" s="5">
        <v>46219</v>
      </c>
      <c r="B17" s="6" t="str">
        <f t="shared" si="0"/>
        <v>Thu</v>
      </c>
      <c r="C17" s="7">
        <v>45.54</v>
      </c>
      <c r="D17" s="8">
        <v>1</v>
      </c>
      <c r="E17" s="7">
        <f t="shared" si="1"/>
        <v>45.54</v>
      </c>
      <c r="F17" s="6" t="s">
        <v>15</v>
      </c>
      <c r="G17" s="9" t="s">
        <v>36</v>
      </c>
      <c r="H17" s="6" t="s">
        <v>25</v>
      </c>
      <c r="I17" s="9" t="s">
        <v>18</v>
      </c>
      <c r="J17" s="10" t="s">
        <v>19</v>
      </c>
    </row>
    <row r="18" spans="1:10" x14ac:dyDescent="0.35">
      <c r="A18" s="11"/>
      <c r="B18" s="12" t="str">
        <f t="shared" ref="B18:B33" si="2">IF(A18="","",TEXT(A18,"ddd"))</f>
        <v/>
      </c>
      <c r="C18" s="17"/>
      <c r="D18" s="14">
        <v>1</v>
      </c>
      <c r="E18" s="13">
        <f t="shared" si="1"/>
        <v>0</v>
      </c>
      <c r="F18" s="15"/>
      <c r="G18" s="15"/>
      <c r="H18" s="15"/>
      <c r="I18" s="15"/>
      <c r="J18" s="18"/>
    </row>
    <row r="19" spans="1:10" x14ac:dyDescent="0.35">
      <c r="A19" s="5"/>
      <c r="B19" s="6" t="str">
        <f t="shared" si="2"/>
        <v/>
      </c>
      <c r="C19" s="19"/>
      <c r="D19" s="8">
        <v>1</v>
      </c>
      <c r="E19" s="7">
        <f t="shared" si="1"/>
        <v>0</v>
      </c>
      <c r="F19" s="9"/>
      <c r="G19" s="9"/>
      <c r="H19" s="9"/>
      <c r="I19" s="9"/>
      <c r="J19" s="20"/>
    </row>
    <row r="20" spans="1:10" x14ac:dyDescent="0.35">
      <c r="A20" s="11"/>
      <c r="B20" s="12" t="str">
        <f t="shared" si="2"/>
        <v/>
      </c>
      <c r="C20" s="17"/>
      <c r="D20" s="14">
        <v>1</v>
      </c>
      <c r="E20" s="13">
        <f t="shared" si="1"/>
        <v>0</v>
      </c>
      <c r="F20" s="15"/>
      <c r="G20" s="15"/>
      <c r="H20" s="15"/>
      <c r="I20" s="15"/>
      <c r="J20" s="18"/>
    </row>
    <row r="21" spans="1:10" x14ac:dyDescent="0.35">
      <c r="A21" s="5"/>
      <c r="B21" s="6" t="str">
        <f t="shared" si="2"/>
        <v/>
      </c>
      <c r="C21" s="19"/>
      <c r="D21" s="8">
        <v>1</v>
      </c>
      <c r="E21" s="7">
        <f t="shared" si="1"/>
        <v>0</v>
      </c>
      <c r="F21" s="9"/>
      <c r="G21" s="9"/>
      <c r="H21" s="9"/>
      <c r="I21" s="9"/>
      <c r="J21" s="20"/>
    </row>
    <row r="22" spans="1:10" x14ac:dyDescent="0.35">
      <c r="A22" s="11"/>
      <c r="B22" s="12" t="str">
        <f t="shared" si="2"/>
        <v/>
      </c>
      <c r="C22" s="17"/>
      <c r="D22" s="14">
        <v>1</v>
      </c>
      <c r="E22" s="13">
        <f t="shared" si="1"/>
        <v>0</v>
      </c>
      <c r="F22" s="15"/>
      <c r="G22" s="15"/>
      <c r="H22" s="15"/>
      <c r="I22" s="15"/>
      <c r="J22" s="18"/>
    </row>
    <row r="23" spans="1:10" x14ac:dyDescent="0.35">
      <c r="A23" s="5"/>
      <c r="B23" s="6" t="str">
        <f t="shared" si="2"/>
        <v/>
      </c>
      <c r="C23" s="19"/>
      <c r="D23" s="8">
        <v>1</v>
      </c>
      <c r="E23" s="7">
        <f t="shared" si="1"/>
        <v>0</v>
      </c>
      <c r="F23" s="9"/>
      <c r="G23" s="9"/>
      <c r="H23" s="9"/>
      <c r="I23" s="9"/>
      <c r="J23" s="20"/>
    </row>
    <row r="24" spans="1:10" x14ac:dyDescent="0.35">
      <c r="A24" s="11"/>
      <c r="B24" s="12" t="str">
        <f t="shared" si="2"/>
        <v/>
      </c>
      <c r="C24" s="17"/>
      <c r="D24" s="14">
        <v>1</v>
      </c>
      <c r="E24" s="13">
        <f t="shared" si="1"/>
        <v>0</v>
      </c>
      <c r="F24" s="15"/>
      <c r="G24" s="15"/>
      <c r="H24" s="15"/>
      <c r="I24" s="15"/>
      <c r="J24" s="18"/>
    </row>
    <row r="25" spans="1:10" x14ac:dyDescent="0.35">
      <c r="A25" s="5"/>
      <c r="B25" s="6" t="str">
        <f t="shared" si="2"/>
        <v/>
      </c>
      <c r="C25" s="19"/>
      <c r="D25" s="8">
        <v>1</v>
      </c>
      <c r="E25" s="7">
        <f t="shared" si="1"/>
        <v>0</v>
      </c>
      <c r="F25" s="9"/>
      <c r="G25" s="9"/>
      <c r="H25" s="9"/>
      <c r="I25" s="9"/>
      <c r="J25" s="20"/>
    </row>
    <row r="26" spans="1:10" x14ac:dyDescent="0.35">
      <c r="A26" s="11"/>
      <c r="B26" s="12" t="str">
        <f t="shared" si="2"/>
        <v/>
      </c>
      <c r="C26" s="17"/>
      <c r="D26" s="14">
        <v>1</v>
      </c>
      <c r="E26" s="13">
        <f t="shared" si="1"/>
        <v>0</v>
      </c>
      <c r="F26" s="15"/>
      <c r="G26" s="15"/>
      <c r="H26" s="15"/>
      <c r="I26" s="15"/>
      <c r="J26" s="18"/>
    </row>
    <row r="27" spans="1:10" x14ac:dyDescent="0.35">
      <c r="A27" s="5"/>
      <c r="B27" s="6" t="str">
        <f t="shared" si="2"/>
        <v/>
      </c>
      <c r="C27" s="19"/>
      <c r="D27" s="8">
        <v>1</v>
      </c>
      <c r="E27" s="7">
        <f t="shared" si="1"/>
        <v>0</v>
      </c>
      <c r="F27" s="9"/>
      <c r="G27" s="9"/>
      <c r="H27" s="9"/>
      <c r="I27" s="9"/>
      <c r="J27" s="20"/>
    </row>
    <row r="28" spans="1:10" x14ac:dyDescent="0.35">
      <c r="A28" s="11"/>
      <c r="B28" s="12" t="str">
        <f t="shared" si="2"/>
        <v/>
      </c>
      <c r="C28" s="17"/>
      <c r="D28" s="14">
        <v>1</v>
      </c>
      <c r="E28" s="13">
        <f t="shared" si="1"/>
        <v>0</v>
      </c>
      <c r="F28" s="15"/>
      <c r="G28" s="15"/>
      <c r="H28" s="15"/>
      <c r="I28" s="15"/>
      <c r="J28" s="18"/>
    </row>
    <row r="29" spans="1:10" x14ac:dyDescent="0.35">
      <c r="A29" s="5"/>
      <c r="B29" s="6" t="str">
        <f t="shared" si="2"/>
        <v/>
      </c>
      <c r="C29" s="19"/>
      <c r="D29" s="8">
        <v>1</v>
      </c>
      <c r="E29" s="7">
        <f t="shared" si="1"/>
        <v>0</v>
      </c>
      <c r="F29" s="9"/>
      <c r="G29" s="9"/>
      <c r="H29" s="9"/>
      <c r="I29" s="9"/>
      <c r="J29" s="20"/>
    </row>
    <row r="30" spans="1:10" x14ac:dyDescent="0.35">
      <c r="A30" s="11"/>
      <c r="B30" s="12" t="str">
        <f t="shared" si="2"/>
        <v/>
      </c>
      <c r="C30" s="17"/>
      <c r="D30" s="14">
        <v>1</v>
      </c>
      <c r="E30" s="13">
        <f t="shared" si="1"/>
        <v>0</v>
      </c>
      <c r="F30" s="15"/>
      <c r="G30" s="15"/>
      <c r="H30" s="15"/>
      <c r="I30" s="15"/>
      <c r="J30" s="18"/>
    </row>
    <row r="31" spans="1:10" x14ac:dyDescent="0.35">
      <c r="A31" s="5"/>
      <c r="B31" s="6" t="str">
        <f t="shared" si="2"/>
        <v/>
      </c>
      <c r="C31" s="19"/>
      <c r="D31" s="8">
        <v>1</v>
      </c>
      <c r="E31" s="7">
        <f t="shared" si="1"/>
        <v>0</v>
      </c>
      <c r="F31" s="9"/>
      <c r="G31" s="9"/>
      <c r="H31" s="9"/>
      <c r="I31" s="9"/>
      <c r="J31" s="20"/>
    </row>
    <row r="32" spans="1:10" x14ac:dyDescent="0.35">
      <c r="A32" s="11"/>
      <c r="B32" s="12" t="str">
        <f t="shared" si="2"/>
        <v/>
      </c>
      <c r="C32" s="17"/>
      <c r="D32" s="14">
        <v>1</v>
      </c>
      <c r="E32" s="13">
        <f t="shared" si="1"/>
        <v>0</v>
      </c>
      <c r="F32" s="15"/>
      <c r="G32" s="15"/>
      <c r="H32" s="15"/>
      <c r="I32" s="15"/>
      <c r="J32" s="18"/>
    </row>
    <row r="33" spans="1:10" x14ac:dyDescent="0.35">
      <c r="A33" s="5"/>
      <c r="B33" s="6" t="str">
        <f t="shared" si="2"/>
        <v/>
      </c>
      <c r="C33" s="19"/>
      <c r="D33" s="8">
        <v>1</v>
      </c>
      <c r="E33" s="7">
        <f t="shared" si="1"/>
        <v>0</v>
      </c>
      <c r="F33" s="9"/>
      <c r="G33" s="9"/>
      <c r="H33" s="9"/>
      <c r="I33" s="9"/>
      <c r="J33" s="20"/>
    </row>
    <row r="34" spans="1:10" x14ac:dyDescent="0.35">
      <c r="A34" s="21"/>
      <c r="B34" s="21"/>
      <c r="C34" s="21"/>
      <c r="D34" s="22" t="s">
        <v>37</v>
      </c>
      <c r="E34" s="23">
        <f>SUM(E5:E33)</f>
        <v>2009.02</v>
      </c>
      <c r="F34" s="21"/>
      <c r="G34" s="21"/>
      <c r="H34" s="21"/>
      <c r="I34" s="21"/>
      <c r="J34" s="21"/>
    </row>
  </sheetData>
  <mergeCells count="1">
    <mergeCell ref="A1:J1"/>
  </mergeCells>
  <dataValidations count="2">
    <dataValidation type="list" allowBlank="1" showInputMessage="1" showErrorMessage="1" sqref="F5:F33" xr:uid="{3C9A693E-B9E2-4F00-AE9C-52762C15C888}">
      <formula1>"UF,PERSONAL,OTHER"</formula1>
    </dataValidation>
    <dataValidation type="list" allowBlank="1" showInputMessage="1" showErrorMessage="1" sqref="H5:H33" xr:uid="{065D25DC-A256-43DE-9960-DE66CD750A9C}">
      <formula1>"Air Fare,Taxi/Train/Bus,Car Rental,Gas/Tolls,Parking,Hotel,Bkfst,Lunch,Dinner,Phone/Data,Computer,Other,Postage,Misc"</formula1>
    </dataValidation>
  </dataValidations>
  <pageMargins left="0.7" right="0.7" top="0.75" bottom="0.75" header="0.3" footer="0.3"/>
  <pageSetup scale="7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2845-048B-44E4-AC50-EC519A511D49}">
  <sheetPr>
    <tabColor rgb="FFF0E4D6"/>
  </sheetPr>
  <dimension ref="A1:A28"/>
  <sheetViews>
    <sheetView workbookViewId="0">
      <selection activeCell="A23" sqref="A23"/>
    </sheetView>
  </sheetViews>
  <sheetFormatPr defaultRowHeight="14.5" x14ac:dyDescent="0.35"/>
  <cols>
    <col min="1" max="1" width="101.26953125" style="27" customWidth="1"/>
  </cols>
  <sheetData>
    <row r="1" spans="1:1" x14ac:dyDescent="0.35">
      <c r="A1" s="26" t="s">
        <v>38</v>
      </c>
    </row>
    <row r="3" spans="1:1" x14ac:dyDescent="0.35">
      <c r="A3" s="27" t="s">
        <v>39</v>
      </c>
    </row>
    <row r="4" spans="1:1" ht="29" x14ac:dyDescent="0.35">
      <c r="A4" s="27" t="s">
        <v>40</v>
      </c>
    </row>
    <row r="5" spans="1:1" x14ac:dyDescent="0.35">
      <c r="A5" s="27" t="s">
        <v>41</v>
      </c>
    </row>
    <row r="6" spans="1:1" x14ac:dyDescent="0.35">
      <c r="A6" s="27" t="s">
        <v>42</v>
      </c>
    </row>
    <row r="7" spans="1:1" x14ac:dyDescent="0.35">
      <c r="A7" s="27" t="s">
        <v>43</v>
      </c>
    </row>
    <row r="8" spans="1:1" x14ac:dyDescent="0.35">
      <c r="A8" s="27" t="s">
        <v>44</v>
      </c>
    </row>
    <row r="10" spans="1:1" x14ac:dyDescent="0.35">
      <c r="A10" s="27" t="s">
        <v>45</v>
      </c>
    </row>
    <row r="11" spans="1:1" ht="29" x14ac:dyDescent="0.35">
      <c r="A11" s="27" t="s">
        <v>46</v>
      </c>
    </row>
    <row r="12" spans="1:1" x14ac:dyDescent="0.35">
      <c r="A12" s="27" t="s">
        <v>47</v>
      </c>
    </row>
    <row r="13" spans="1:1" x14ac:dyDescent="0.35">
      <c r="A13" s="27" t="s">
        <v>48</v>
      </c>
    </row>
    <row r="14" spans="1:1" x14ac:dyDescent="0.35">
      <c r="A14" s="27" t="s">
        <v>49</v>
      </c>
    </row>
    <row r="16" spans="1:1" x14ac:dyDescent="0.35">
      <c r="A16" s="27" t="s">
        <v>50</v>
      </c>
    </row>
    <row r="17" spans="1:1" x14ac:dyDescent="0.35">
      <c r="A17" s="27" t="s">
        <v>51</v>
      </c>
    </row>
    <row r="18" spans="1:1" x14ac:dyDescent="0.35">
      <c r="A18" s="27" t="s">
        <v>52</v>
      </c>
    </row>
    <row r="19" spans="1:1" x14ac:dyDescent="0.35">
      <c r="A19" s="27" t="s">
        <v>53</v>
      </c>
    </row>
    <row r="20" spans="1:1" x14ac:dyDescent="0.35">
      <c r="A20" s="27" t="s">
        <v>54</v>
      </c>
    </row>
    <row r="21" spans="1:1" x14ac:dyDescent="0.35">
      <c r="A21" s="27" t="s">
        <v>55</v>
      </c>
    </row>
    <row r="22" spans="1:1" x14ac:dyDescent="0.35">
      <c r="A22" s="27" t="s">
        <v>56</v>
      </c>
    </row>
    <row r="23" spans="1:1" x14ac:dyDescent="0.35">
      <c r="A23" s="27" t="s">
        <v>57</v>
      </c>
    </row>
    <row r="24" spans="1:1" x14ac:dyDescent="0.35">
      <c r="A24" s="27" t="s">
        <v>58</v>
      </c>
    </row>
    <row r="25" spans="1:1" x14ac:dyDescent="0.35">
      <c r="A25" s="27" t="s">
        <v>59</v>
      </c>
    </row>
    <row r="26" spans="1:1" x14ac:dyDescent="0.35">
      <c r="A26" s="27" t="s">
        <v>60</v>
      </c>
    </row>
    <row r="27" spans="1:1" x14ac:dyDescent="0.35">
      <c r="A27" s="27" t="s">
        <v>61</v>
      </c>
    </row>
    <row r="28" spans="1:1" x14ac:dyDescent="0.35">
      <c r="A28" s="27" t="s">
        <v>62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 Detail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cp:lastPrinted>2026-07-19T20:08:24Z</cp:lastPrinted>
  <dcterms:created xsi:type="dcterms:W3CDTF">2026-07-19T19:25:36Z</dcterms:created>
  <dcterms:modified xsi:type="dcterms:W3CDTF">2026-07-20T02:04:20Z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b3df47-8411-4936-b9ba-bd7d0b6abe65_Enabled">
    <vt:lpwstr>true</vt:lpwstr>
  </property>
  <property fmtid="{D5CDD505-2E9C-101B-9397-08002B2CF9AE}" pid="3" name="MSIP_Label_25b3df47-8411-4936-b9ba-bd7d0b6abe65_SetDate">
    <vt:lpwstr>2026-07-19T19:25:42Z</vt:lpwstr>
  </property>
  <property fmtid="{D5CDD505-2E9C-101B-9397-08002B2CF9AE}" pid="4" name="MSIP_Label_25b3df47-8411-4936-b9ba-bd7d0b6abe65_Method">
    <vt:lpwstr>Standard</vt:lpwstr>
  </property>
  <property fmtid="{D5CDD505-2E9C-101B-9397-08002B2CF9AE}" pid="5" name="MSIP_Label_25b3df47-8411-4936-b9ba-bd7d0b6abe65_Name">
    <vt:lpwstr>Sensitive</vt:lpwstr>
  </property>
  <property fmtid="{D5CDD505-2E9C-101B-9397-08002B2CF9AE}" pid="6" name="MSIP_Label_25b3df47-8411-4936-b9ba-bd7d0b6abe65_SiteId">
    <vt:lpwstr>5d78c979-1c5b-4cb4-9ad2-0cbf360bc2d5</vt:lpwstr>
  </property>
  <property fmtid="{D5CDD505-2E9C-101B-9397-08002B2CF9AE}" pid="7" name="MSIP_Label_25b3df47-8411-4936-b9ba-bd7d0b6abe65_ActionId">
    <vt:lpwstr>f7e531e2-69e8-48e3-a196-4a1dff37aa40</vt:lpwstr>
  </property>
  <property fmtid="{D5CDD505-2E9C-101B-9397-08002B2CF9AE}" pid="8" name="MSIP_Label_25b3df47-8411-4936-b9ba-bd7d0b6abe65_ContentBits">
    <vt:lpwstr>0</vt:lpwstr>
  </property>
  <property fmtid="{D5CDD505-2E9C-101B-9397-08002B2CF9AE}" pid="9" name="MSIP_Label_25b3df47-8411-4936-b9ba-bd7d0b6abe65_Tag">
    <vt:lpwstr>10, 3, 0, 1</vt:lpwstr>
  </property>
</Properties>
</file>