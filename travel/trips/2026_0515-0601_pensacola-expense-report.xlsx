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055D2799-321F-4738-AA28-6C79F395DB20}" xr6:coauthVersionLast="47" xr6:coauthVersionMax="47" xr10:uidLastSave="{00000000-0000-0000-0000-000000000000}"/>
  <bookViews>
    <workbookView xWindow="-110" yWindow="-110" windowWidth="24220" windowHeight="15500" xr2:uid="{E89761F7-4A8C-4CAE-A14C-B65897BBDB33}"/>
  </bookViews>
  <sheets>
    <sheet name="Summary" sheetId="2" r:id="rId1"/>
    <sheet name="Expenses" sheetId="1" r:id="rId2"/>
    <sheet name="Exclu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3" l="1"/>
  <c r="C31" i="2"/>
  <c r="C25" i="2"/>
  <c r="B16" i="2"/>
  <c r="D27" i="1"/>
</calcChain>
</file>

<file path=xl/sharedStrings.xml><?xml version="1.0" encoding="utf-8"?>
<sst xmlns="http://schemas.openxmlformats.org/spreadsheetml/2006/main" count="140" uniqueCount="84">
  <si>
    <t>PENSACOLA TRIP - EXPENSE DETAIL  |  May 15 - June 1, 2026</t>
  </si>
  <si>
    <t>Preparer: Pete Castellano     Compiled: June 2, 2026     Purpose: Renovation oversight / Father's POA</t>
  </si>
  <si>
    <t>Date</t>
  </si>
  <si>
    <t>Description</t>
  </si>
  <si>
    <t>Category</t>
  </si>
  <si>
    <t>Amount</t>
  </si>
  <si>
    <t>Card</t>
  </si>
  <si>
    <t>Reimb?</t>
  </si>
  <si>
    <t>SW OMA-STL-MCO (conf CMIJAL)</t>
  </si>
  <si>
    <t>Air Fare</t>
  </si>
  <si>
    <t>Yes</t>
  </si>
  <si>
    <t>McDonald's, Orlando FL</t>
  </si>
  <si>
    <t>Meals</t>
  </si>
  <si>
    <t>Budget Rental, Orlando FL (5/15 to 5/17)</t>
  </si>
  <si>
    <t>Car Rental</t>
  </si>
  <si>
    <t>Shell, Ocoee FL</t>
  </si>
  <si>
    <t>Gas/Tolls</t>
  </si>
  <si>
    <t>Delta MCO-ATL-PNS (conf H543QZ)</t>
  </si>
  <si>
    <t>Delta Excess Baggage (H543QZ)</t>
  </si>
  <si>
    <t>Popeyes, Atlanta GA (layover)</t>
  </si>
  <si>
    <t>FloraBama Oyster - food only, Pensacola FL</t>
  </si>
  <si>
    <t>FloraBama Lounge Admission, Pensacola FL</t>
  </si>
  <si>
    <t>Other</t>
  </si>
  <si>
    <t>Noted*</t>
  </si>
  <si>
    <t>Perdido Pack &amp; Ship, Pensacola FL</t>
  </si>
  <si>
    <t>Purple Parrot Beach Bar - food only, Pensacola FL</t>
  </si>
  <si>
    <t>Murphy USA, Pensacola FL</t>
  </si>
  <si>
    <t>Perdido Key Resort (5/17 to 5/23), Pensacola FL</t>
  </si>
  <si>
    <t>Hotel</t>
  </si>
  <si>
    <t>Hub Stacey's at The Point - lunch, Pensacola FL</t>
  </si>
  <si>
    <t>Fisherman's Corner, Pensacola FL</t>
  </si>
  <si>
    <t>Publix, Pensacola FL - hair gel</t>
  </si>
  <si>
    <t>Budget Rental, Pensacola FL (5/17 to 6/1)</t>
  </si>
  <si>
    <t>Airbnb/Landing, Pensacola FL (5/23 to 6/1)</t>
  </si>
  <si>
    <t>SW Baggage Fee PNS-OMA (conf AU84MN)</t>
  </si>
  <si>
    <t>Circle K, Pensacola FL - rental car fuel</t>
  </si>
  <si>
    <t>Chipotle, Pensacola FL</t>
  </si>
  <si>
    <t>Omaha Airport - cart rental</t>
  </si>
  <si>
    <t>SW PNS-BNA-STL-OMA (conf AU84MN)</t>
  </si>
  <si>
    <t>TOTAL REIMBURSABLE</t>
  </si>
  <si>
    <t>PENSACOLA TRIP EXPENSE REPORT  -  MAY 15 to JUNE 1, 2026</t>
  </si>
  <si>
    <t>Traveler</t>
  </si>
  <si>
    <t>Pete Castellano</t>
  </si>
  <si>
    <t>Purpose</t>
  </si>
  <si>
    <t>Renovation oversight + renter move-in (Father's POA property)</t>
  </si>
  <si>
    <t>Dates</t>
  </si>
  <si>
    <t>May 15 - June 1, 2026 (18 days)</t>
  </si>
  <si>
    <t>Property</t>
  </si>
  <si>
    <t>5577 North Shore Way, Pensacola FL</t>
  </si>
  <si>
    <t>Compiled</t>
  </si>
  <si>
    <t>SUMMARY BY CATEGORY</t>
  </si>
  <si>
    <t># Items</t>
  </si>
  <si>
    <t>Gas / Tolls</t>
  </si>
  <si>
    <t>Meals (food only)</t>
  </si>
  <si>
    <t>CHARGES BY CARD (ALL - incl. excluded)</t>
  </si>
  <si>
    <t>Type</t>
  </si>
  <si>
    <t>Total Charged</t>
  </si>
  <si>
    <t>VISA SW Rapid Rewards+</t>
  </si>
  <si>
    <t>VISA Personal</t>
  </si>
  <si>
    <t>VISA WF Debit</t>
  </si>
  <si>
    <t>VISA WF Active Cash</t>
  </si>
  <si>
    <t>Cash</t>
  </si>
  <si>
    <t>Direct</t>
  </si>
  <si>
    <t>GRAND TOTAL (all charges)</t>
  </si>
  <si>
    <t>CREDITS APPLIED TO FLIGHTS</t>
  </si>
  <si>
    <t>Credit</t>
  </si>
  <si>
    <t>Status</t>
  </si>
  <si>
    <t>SW Flight Credit (AU84MN return)</t>
  </si>
  <si>
    <t>Expires Aug 2026 - SPENT</t>
  </si>
  <si>
    <t>Delta eCredit (H543QZ outbound)</t>
  </si>
  <si>
    <t>Spent</t>
  </si>
  <si>
    <t>Total Credits Applied</t>
  </si>
  <si>
    <t>EXCLUDED ITEMS - Alcohol Only / Non-Reimbursable</t>
  </si>
  <si>
    <t>Documented for reconciliation. Not included in reimbursable total.</t>
  </si>
  <si>
    <t>Reason</t>
  </si>
  <si>
    <t>The Sports Bar, Pensacola FL - 2 Yuengling</t>
  </si>
  <si>
    <t>Alcohol</t>
  </si>
  <si>
    <t>FloraBama Lounge - alcohol portion</t>
  </si>
  <si>
    <t>FloraBama Lounge Admission</t>
  </si>
  <si>
    <t>Non-reimb.</t>
  </si>
  <si>
    <t>Purple Parrot, Pensacola FL - Yuengling</t>
  </si>
  <si>
    <t>Hub Stacey's at The Point - 2 Yuengling</t>
  </si>
  <si>
    <t>Bushwackers Landing - drinks only</t>
  </si>
  <si>
    <t>TOTAL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</si>
</sst>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0E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4" fillId="4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14" fontId="0" fillId="6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15" fontId="0" fillId="0" borderId="0" xfId="0" applyNumberFormat="1"/>
    <xf numFmtId="0" fontId="4" fillId="4" borderId="0" xfId="0" applyFont="1" applyFill="1" applyAlignment="1">
      <alignment horizontal="center"/>
    </xf>
    <xf numFmtId="0" fontId="1" fillId="3" borderId="1" xfId="0" applyFont="1" applyFill="1" applyBorder="1"/>
    <xf numFmtId="0" fontId="0" fillId="7" borderId="1" xfId="0" applyFill="1" applyBorder="1"/>
    <xf numFmtId="164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right"/>
    </xf>
    <xf numFmtId="0" fontId="2" fillId="8" borderId="0" xfId="0" applyFont="1" applyFill="1" applyAlignment="1">
      <alignment horizontal="center"/>
    </xf>
    <xf numFmtId="0" fontId="6" fillId="0" borderId="0" xfId="0" applyFont="1"/>
    <xf numFmtId="0" fontId="4" fillId="8" borderId="1" xfId="0" applyFont="1" applyFill="1" applyBorder="1"/>
    <xf numFmtId="14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right"/>
    </xf>
    <xf numFmtId="0" fontId="0" fillId="8" borderId="1" xfId="0" applyFill="1" applyBorder="1"/>
    <xf numFmtId="164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044E-9340-4A65-AB2C-644C8FBC39A1}">
  <sheetPr>
    <tabColor rgb="FF64381F"/>
  </sheetPr>
  <dimension ref="A1:C31"/>
  <sheetViews>
    <sheetView tabSelected="1" workbookViewId="0">
      <selection sqref="A1:C1"/>
    </sheetView>
  </sheetViews>
  <sheetFormatPr defaultRowHeight="14.5" x14ac:dyDescent="0.35"/>
  <cols>
    <col min="1" max="1" width="28.6328125" customWidth="1"/>
    <col min="2" max="2" width="14.6328125" customWidth="1"/>
    <col min="3" max="3" width="8.6328125" customWidth="1"/>
  </cols>
  <sheetData>
    <row r="1" spans="1:3" ht="24" customHeight="1" x14ac:dyDescent="0.45">
      <c r="A1" s="22" t="s">
        <v>40</v>
      </c>
      <c r="B1" s="3"/>
      <c r="C1" s="3"/>
    </row>
    <row r="2" spans="1:3" x14ac:dyDescent="0.35">
      <c r="A2" s="5" t="s">
        <v>41</v>
      </c>
      <c r="B2" s="1" t="s">
        <v>42</v>
      </c>
      <c r="C2" s="1"/>
    </row>
    <row r="3" spans="1:3" x14ac:dyDescent="0.35">
      <c r="A3" s="5" t="s">
        <v>43</v>
      </c>
      <c r="B3" s="1" t="s">
        <v>44</v>
      </c>
      <c r="C3" s="1"/>
    </row>
    <row r="4" spans="1:3" x14ac:dyDescent="0.35">
      <c r="A4" s="5" t="s">
        <v>45</v>
      </c>
      <c r="B4" s="1" t="s">
        <v>46</v>
      </c>
      <c r="C4" s="1"/>
    </row>
    <row r="5" spans="1:3" x14ac:dyDescent="0.35">
      <c r="A5" s="5" t="s">
        <v>47</v>
      </c>
      <c r="B5" s="1" t="s">
        <v>48</v>
      </c>
      <c r="C5" s="1"/>
    </row>
    <row r="6" spans="1:3" x14ac:dyDescent="0.35">
      <c r="A6" s="5" t="s">
        <v>49</v>
      </c>
      <c r="B6" s="23">
        <v>46175</v>
      </c>
      <c r="C6" s="1"/>
    </row>
    <row r="8" spans="1:3" x14ac:dyDescent="0.35">
      <c r="A8" s="24" t="s">
        <v>50</v>
      </c>
      <c r="B8" s="3"/>
      <c r="C8" s="3"/>
    </row>
    <row r="9" spans="1:3" x14ac:dyDescent="0.35">
      <c r="A9" s="25" t="s">
        <v>4</v>
      </c>
      <c r="B9" s="25" t="s">
        <v>5</v>
      </c>
      <c r="C9" s="25" t="s">
        <v>51</v>
      </c>
    </row>
    <row r="10" spans="1:3" x14ac:dyDescent="0.35">
      <c r="A10" s="26" t="s">
        <v>9</v>
      </c>
      <c r="B10" s="27">
        <v>1476.9</v>
      </c>
      <c r="C10" s="28">
        <v>5</v>
      </c>
    </row>
    <row r="11" spans="1:3" x14ac:dyDescent="0.35">
      <c r="A11" s="12" t="s">
        <v>14</v>
      </c>
      <c r="B11" s="13">
        <v>1645.86</v>
      </c>
      <c r="C11" s="14">
        <v>2</v>
      </c>
    </row>
    <row r="12" spans="1:3" x14ac:dyDescent="0.35">
      <c r="A12" s="26" t="s">
        <v>52</v>
      </c>
      <c r="B12" s="27">
        <v>121.21</v>
      </c>
      <c r="C12" s="28">
        <v>3</v>
      </c>
    </row>
    <row r="13" spans="1:3" x14ac:dyDescent="0.35">
      <c r="A13" s="12" t="s">
        <v>28</v>
      </c>
      <c r="B13" s="13">
        <v>2814.1</v>
      </c>
      <c r="C13" s="14">
        <v>2</v>
      </c>
    </row>
    <row r="14" spans="1:3" x14ac:dyDescent="0.35">
      <c r="A14" s="26" t="s">
        <v>53</v>
      </c>
      <c r="B14" s="27">
        <v>217.74</v>
      </c>
      <c r="C14" s="28">
        <v>8</v>
      </c>
    </row>
    <row r="15" spans="1:3" x14ac:dyDescent="0.35">
      <c r="A15" s="12" t="s">
        <v>22</v>
      </c>
      <c r="B15" s="13">
        <v>42.55</v>
      </c>
      <c r="C15" s="14">
        <v>3</v>
      </c>
    </row>
    <row r="16" spans="1:3" x14ac:dyDescent="0.35">
      <c r="A16" s="20" t="s">
        <v>39</v>
      </c>
      <c r="B16" s="21">
        <f>SUM(B10:B15)</f>
        <v>6318.36</v>
      </c>
      <c r="C16" s="19"/>
    </row>
    <row r="18" spans="1:3" x14ac:dyDescent="0.35">
      <c r="A18" s="24" t="s">
        <v>54</v>
      </c>
      <c r="B18" s="3"/>
      <c r="C18" s="3"/>
    </row>
    <row r="19" spans="1:3" x14ac:dyDescent="0.35">
      <c r="A19" s="25" t="s">
        <v>6</v>
      </c>
      <c r="B19" s="25" t="s">
        <v>55</v>
      </c>
      <c r="C19" s="25" t="s">
        <v>56</v>
      </c>
    </row>
    <row r="20" spans="1:3" x14ac:dyDescent="0.35">
      <c r="A20" s="28">
        <v>-2674</v>
      </c>
      <c r="B20" s="26" t="s">
        <v>57</v>
      </c>
      <c r="C20" s="27">
        <v>2514.04</v>
      </c>
    </row>
    <row r="21" spans="1:3" x14ac:dyDescent="0.35">
      <c r="A21" s="14">
        <v>-733</v>
      </c>
      <c r="B21" s="12" t="s">
        <v>58</v>
      </c>
      <c r="C21" s="13">
        <v>1598.69</v>
      </c>
    </row>
    <row r="22" spans="1:3" x14ac:dyDescent="0.35">
      <c r="A22" s="28">
        <v>-8289</v>
      </c>
      <c r="B22" s="26" t="s">
        <v>59</v>
      </c>
      <c r="C22" s="27">
        <v>1375.32</v>
      </c>
    </row>
    <row r="23" spans="1:3" x14ac:dyDescent="0.35">
      <c r="A23" s="14">
        <v>-7552</v>
      </c>
      <c r="B23" s="12" t="s">
        <v>60</v>
      </c>
      <c r="C23" s="13">
        <v>630.20000000000005</v>
      </c>
    </row>
    <row r="24" spans="1:3" x14ac:dyDescent="0.35">
      <c r="A24" s="28" t="s">
        <v>61</v>
      </c>
      <c r="B24" s="26" t="s">
        <v>62</v>
      </c>
      <c r="C24" s="27">
        <v>7.53</v>
      </c>
    </row>
    <row r="25" spans="1:3" x14ac:dyDescent="0.35">
      <c r="A25" s="20" t="s">
        <v>63</v>
      </c>
      <c r="B25" s="19"/>
      <c r="C25" s="21">
        <f>SUM(C20:C24)</f>
        <v>6125.7799999999988</v>
      </c>
    </row>
    <row r="27" spans="1:3" x14ac:dyDescent="0.35">
      <c r="A27" s="24" t="s">
        <v>64</v>
      </c>
      <c r="B27" s="3"/>
      <c r="C27" s="3"/>
    </row>
    <row r="28" spans="1:3" x14ac:dyDescent="0.35">
      <c r="A28" s="25" t="s">
        <v>65</v>
      </c>
      <c r="B28" s="25" t="s">
        <v>66</v>
      </c>
      <c r="C28" s="25" t="s">
        <v>5</v>
      </c>
    </row>
    <row r="29" spans="1:3" x14ac:dyDescent="0.35">
      <c r="A29" s="12" t="s">
        <v>67</v>
      </c>
      <c r="B29" s="12" t="s">
        <v>68</v>
      </c>
      <c r="C29" s="13">
        <v>442.2</v>
      </c>
    </row>
    <row r="30" spans="1:3" x14ac:dyDescent="0.35">
      <c r="A30" s="26" t="s">
        <v>69</v>
      </c>
      <c r="B30" s="26" t="s">
        <v>70</v>
      </c>
      <c r="C30" s="27">
        <v>145.4</v>
      </c>
    </row>
    <row r="31" spans="1:3" x14ac:dyDescent="0.35">
      <c r="A31" s="25" t="s">
        <v>71</v>
      </c>
      <c r="B31" s="8"/>
      <c r="C31" s="29">
        <f>SUM(C29:C30)</f>
        <v>587.6</v>
      </c>
    </row>
  </sheetData>
  <mergeCells count="9">
    <mergeCell ref="A8:C8"/>
    <mergeCell ref="A18:C18"/>
    <mergeCell ref="A27:C27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84AE-6C37-4C5E-B92D-DEA24C1CA32C}">
  <sheetPr>
    <tabColor rgb="FFB6752E"/>
  </sheetPr>
  <dimension ref="A1:F27"/>
  <sheetViews>
    <sheetView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0.6328125" customWidth="1"/>
    <col min="2" max="2" width="44.6328125" customWidth="1"/>
    <col min="3" max="3" width="14.6328125" customWidth="1"/>
    <col min="4" max="4" width="12.6328125" customWidth="1"/>
    <col min="5" max="5" width="8.6328125" customWidth="1"/>
    <col min="6" max="6" width="10.6328125" customWidth="1"/>
  </cols>
  <sheetData>
    <row r="1" spans="1:6" ht="22" customHeight="1" x14ac:dyDescent="0.4">
      <c r="A1" s="2" t="s">
        <v>0</v>
      </c>
      <c r="B1" s="3"/>
      <c r="C1" s="3"/>
      <c r="D1" s="3"/>
      <c r="E1" s="3"/>
      <c r="F1" s="3"/>
    </row>
    <row r="2" spans="1:6" x14ac:dyDescent="0.35">
      <c r="A2" s="4" t="s">
        <v>1</v>
      </c>
      <c r="B2" s="3"/>
      <c r="C2" s="3"/>
      <c r="D2" s="3"/>
      <c r="E2" s="3"/>
      <c r="F2" s="3"/>
    </row>
    <row r="3" spans="1:6" ht="16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x14ac:dyDescent="0.35">
      <c r="A4" s="7">
        <v>46157</v>
      </c>
      <c r="B4" s="8" t="s">
        <v>8</v>
      </c>
      <c r="C4" s="8" t="s">
        <v>9</v>
      </c>
      <c r="D4" s="9">
        <v>467.2</v>
      </c>
      <c r="E4" s="10">
        <v>-2674</v>
      </c>
      <c r="F4" s="10" t="s">
        <v>10</v>
      </c>
    </row>
    <row r="5" spans="1:6" x14ac:dyDescent="0.35">
      <c r="A5" s="11">
        <v>46158</v>
      </c>
      <c r="B5" s="12" t="s">
        <v>11</v>
      </c>
      <c r="C5" s="12" t="s">
        <v>12</v>
      </c>
      <c r="D5" s="13">
        <v>8.81</v>
      </c>
      <c r="E5" s="14">
        <v>-8289</v>
      </c>
      <c r="F5" s="14" t="s">
        <v>10</v>
      </c>
    </row>
    <row r="6" spans="1:6" x14ac:dyDescent="0.35">
      <c r="A6" s="7">
        <v>46159</v>
      </c>
      <c r="B6" s="8" t="s">
        <v>13</v>
      </c>
      <c r="C6" s="8" t="s">
        <v>14</v>
      </c>
      <c r="D6" s="9">
        <v>94.12</v>
      </c>
      <c r="E6" s="10">
        <v>-733</v>
      </c>
      <c r="F6" s="10" t="s">
        <v>10</v>
      </c>
    </row>
    <row r="7" spans="1:6" x14ac:dyDescent="0.35">
      <c r="A7" s="11">
        <v>46159</v>
      </c>
      <c r="B7" s="12" t="s">
        <v>15</v>
      </c>
      <c r="C7" s="12" t="s">
        <v>16</v>
      </c>
      <c r="D7" s="13">
        <v>16.75</v>
      </c>
      <c r="E7" s="14">
        <v>-2674</v>
      </c>
      <c r="F7" s="14" t="s">
        <v>10</v>
      </c>
    </row>
    <row r="8" spans="1:6" x14ac:dyDescent="0.35">
      <c r="A8" s="7">
        <v>46159</v>
      </c>
      <c r="B8" s="8" t="s">
        <v>17</v>
      </c>
      <c r="C8" s="8" t="s">
        <v>9</v>
      </c>
      <c r="D8" s="9">
        <v>416.2</v>
      </c>
      <c r="E8" s="10">
        <v>-733</v>
      </c>
      <c r="F8" s="10" t="s">
        <v>10</v>
      </c>
    </row>
    <row r="9" spans="1:6" x14ac:dyDescent="0.35">
      <c r="A9" s="11">
        <v>46159</v>
      </c>
      <c r="B9" s="12" t="s">
        <v>18</v>
      </c>
      <c r="C9" s="12" t="s">
        <v>9</v>
      </c>
      <c r="D9" s="13">
        <v>45</v>
      </c>
      <c r="E9" s="14">
        <v>-2674</v>
      </c>
      <c r="F9" s="14" t="s">
        <v>10</v>
      </c>
    </row>
    <row r="10" spans="1:6" x14ac:dyDescent="0.35">
      <c r="A10" s="7">
        <v>46159</v>
      </c>
      <c r="B10" s="8" t="s">
        <v>19</v>
      </c>
      <c r="C10" s="8" t="s">
        <v>12</v>
      </c>
      <c r="D10" s="9">
        <v>11.64</v>
      </c>
      <c r="E10" s="10">
        <v>-8289</v>
      </c>
      <c r="F10" s="10" t="s">
        <v>10</v>
      </c>
    </row>
    <row r="11" spans="1:6" x14ac:dyDescent="0.35">
      <c r="A11" s="11">
        <v>46162</v>
      </c>
      <c r="B11" s="12" t="s">
        <v>20</v>
      </c>
      <c r="C11" s="12" t="s">
        <v>12</v>
      </c>
      <c r="D11" s="13">
        <v>16.34</v>
      </c>
      <c r="E11" s="14">
        <v>-8289</v>
      </c>
      <c r="F11" s="14" t="s">
        <v>10</v>
      </c>
    </row>
    <row r="12" spans="1:6" x14ac:dyDescent="0.35">
      <c r="A12" s="15">
        <v>46162</v>
      </c>
      <c r="B12" s="16" t="s">
        <v>21</v>
      </c>
      <c r="C12" s="16" t="s">
        <v>22</v>
      </c>
      <c r="D12" s="17">
        <v>5</v>
      </c>
      <c r="E12" s="18">
        <v>-8289</v>
      </c>
      <c r="F12" s="18" t="s">
        <v>23</v>
      </c>
    </row>
    <row r="13" spans="1:6" x14ac:dyDescent="0.35">
      <c r="A13" s="11">
        <v>46163</v>
      </c>
      <c r="B13" s="12" t="s">
        <v>24</v>
      </c>
      <c r="C13" s="12" t="s">
        <v>22</v>
      </c>
      <c r="D13" s="13">
        <v>16.71</v>
      </c>
      <c r="E13" s="14">
        <v>-733</v>
      </c>
      <c r="F13" s="14" t="s">
        <v>10</v>
      </c>
    </row>
    <row r="14" spans="1:6" x14ac:dyDescent="0.35">
      <c r="A14" s="7">
        <v>46164</v>
      </c>
      <c r="B14" s="8" t="s">
        <v>25</v>
      </c>
      <c r="C14" s="8" t="s">
        <v>12</v>
      </c>
      <c r="D14" s="9">
        <v>24.87</v>
      </c>
      <c r="E14" s="10">
        <v>-8289</v>
      </c>
      <c r="F14" s="10" t="s">
        <v>10</v>
      </c>
    </row>
    <row r="15" spans="1:6" x14ac:dyDescent="0.35">
      <c r="A15" s="11">
        <v>46165</v>
      </c>
      <c r="B15" s="12" t="s">
        <v>26</v>
      </c>
      <c r="C15" s="12" t="s">
        <v>16</v>
      </c>
      <c r="D15" s="13">
        <v>67.819999999999993</v>
      </c>
      <c r="E15" s="14">
        <v>-733</v>
      </c>
      <c r="F15" s="14" t="s">
        <v>10</v>
      </c>
    </row>
    <row r="16" spans="1:6" x14ac:dyDescent="0.35">
      <c r="A16" s="7">
        <v>46165</v>
      </c>
      <c r="B16" s="8" t="s">
        <v>27</v>
      </c>
      <c r="C16" s="8" t="s">
        <v>28</v>
      </c>
      <c r="D16" s="9">
        <v>915.65</v>
      </c>
      <c r="E16" s="10">
        <v>-733</v>
      </c>
      <c r="F16" s="10" t="s">
        <v>10</v>
      </c>
    </row>
    <row r="17" spans="1:6" x14ac:dyDescent="0.35">
      <c r="A17" s="11">
        <v>46173</v>
      </c>
      <c r="B17" s="12" t="s">
        <v>29</v>
      </c>
      <c r="C17" s="12" t="s">
        <v>12</v>
      </c>
      <c r="D17" s="13">
        <v>39.54</v>
      </c>
      <c r="E17" s="14">
        <v>-8289</v>
      </c>
      <c r="F17" s="14" t="s">
        <v>10</v>
      </c>
    </row>
    <row r="18" spans="1:6" x14ac:dyDescent="0.35">
      <c r="A18" s="7">
        <v>46173</v>
      </c>
      <c r="B18" s="8" t="s">
        <v>30</v>
      </c>
      <c r="C18" s="8" t="s">
        <v>12</v>
      </c>
      <c r="D18" s="9">
        <v>118.03</v>
      </c>
      <c r="E18" s="10">
        <v>-7552</v>
      </c>
      <c r="F18" s="10" t="s">
        <v>10</v>
      </c>
    </row>
    <row r="19" spans="1:6" x14ac:dyDescent="0.35">
      <c r="A19" s="11">
        <v>46173</v>
      </c>
      <c r="B19" s="12" t="s">
        <v>31</v>
      </c>
      <c r="C19" s="12" t="s">
        <v>22</v>
      </c>
      <c r="D19" s="13">
        <v>20.84</v>
      </c>
      <c r="E19" s="14">
        <v>-8289</v>
      </c>
      <c r="F19" s="14" t="s">
        <v>10</v>
      </c>
    </row>
    <row r="20" spans="1:6" x14ac:dyDescent="0.35">
      <c r="A20" s="7">
        <v>46174</v>
      </c>
      <c r="B20" s="8" t="s">
        <v>32</v>
      </c>
      <c r="C20" s="8" t="s">
        <v>14</v>
      </c>
      <c r="D20" s="9">
        <v>1551.74</v>
      </c>
      <c r="E20" s="10">
        <v>-2674</v>
      </c>
      <c r="F20" s="10" t="s">
        <v>10</v>
      </c>
    </row>
    <row r="21" spans="1:6" x14ac:dyDescent="0.35">
      <c r="A21" s="11">
        <v>46174</v>
      </c>
      <c r="B21" s="12" t="s">
        <v>33</v>
      </c>
      <c r="C21" s="12" t="s">
        <v>28</v>
      </c>
      <c r="D21" s="13">
        <v>1898.45</v>
      </c>
      <c r="E21" s="14">
        <v>-2674</v>
      </c>
      <c r="F21" s="14" t="s">
        <v>10</v>
      </c>
    </row>
    <row r="22" spans="1:6" x14ac:dyDescent="0.35">
      <c r="A22" s="7">
        <v>46174</v>
      </c>
      <c r="B22" s="8" t="s">
        <v>34</v>
      </c>
      <c r="C22" s="8" t="s">
        <v>9</v>
      </c>
      <c r="D22" s="9">
        <v>55</v>
      </c>
      <c r="E22" s="10">
        <v>-7552</v>
      </c>
      <c r="F22" s="10" t="s">
        <v>10</v>
      </c>
    </row>
    <row r="23" spans="1:6" x14ac:dyDescent="0.35">
      <c r="A23" s="11">
        <v>46174</v>
      </c>
      <c r="B23" s="12" t="s">
        <v>35</v>
      </c>
      <c r="C23" s="12" t="s">
        <v>16</v>
      </c>
      <c r="D23" s="13">
        <v>36.64</v>
      </c>
      <c r="E23" s="14">
        <v>-7552</v>
      </c>
      <c r="F23" s="14" t="s">
        <v>10</v>
      </c>
    </row>
    <row r="24" spans="1:6" x14ac:dyDescent="0.35">
      <c r="A24" s="7">
        <v>46174</v>
      </c>
      <c r="B24" s="8" t="s">
        <v>36</v>
      </c>
      <c r="C24" s="8" t="s">
        <v>12</v>
      </c>
      <c r="D24" s="9">
        <v>17.95</v>
      </c>
      <c r="E24" s="10">
        <v>-7552</v>
      </c>
      <c r="F24" s="10" t="s">
        <v>10</v>
      </c>
    </row>
    <row r="25" spans="1:6" x14ac:dyDescent="0.35">
      <c r="A25" s="11">
        <v>46174</v>
      </c>
      <c r="B25" s="12" t="s">
        <v>37</v>
      </c>
      <c r="C25" s="12" t="s">
        <v>22</v>
      </c>
      <c r="D25" s="13">
        <v>6</v>
      </c>
      <c r="E25" s="14">
        <v>-7552</v>
      </c>
      <c r="F25" s="14" t="s">
        <v>10</v>
      </c>
    </row>
    <row r="26" spans="1:6" x14ac:dyDescent="0.35">
      <c r="A26" s="7">
        <v>46174</v>
      </c>
      <c r="B26" s="8" t="s">
        <v>38</v>
      </c>
      <c r="C26" s="8" t="s">
        <v>9</v>
      </c>
      <c r="D26" s="9">
        <v>493.5</v>
      </c>
      <c r="E26" s="10">
        <v>-2674</v>
      </c>
      <c r="F26" s="10" t="s">
        <v>10</v>
      </c>
    </row>
    <row r="27" spans="1:6" x14ac:dyDescent="0.35">
      <c r="A27" s="19"/>
      <c r="B27" s="20" t="s">
        <v>39</v>
      </c>
      <c r="C27" s="19"/>
      <c r="D27" s="21">
        <f>SUMIF(F4:F26,"Yes",D4:D26)</f>
        <v>6338.8</v>
      </c>
      <c r="E27" s="19"/>
      <c r="F27" s="19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940D-EAA0-412F-8F25-D91F915B645E}">
  <sheetPr>
    <tabColor rgb="FF0000C0"/>
  </sheetPr>
  <dimension ref="A1:E10"/>
  <sheetViews>
    <sheetView workbookViewId="0"/>
  </sheetViews>
  <sheetFormatPr defaultRowHeight="14.5" x14ac:dyDescent="0.35"/>
  <cols>
    <col min="1" max="1" width="10.6328125" customWidth="1"/>
    <col min="2" max="2" width="42.6328125" customWidth="1"/>
    <col min="3" max="3" width="14.6328125" customWidth="1"/>
    <col min="4" max="4" width="12.6328125" customWidth="1"/>
    <col min="5" max="5" width="8.6328125" customWidth="1"/>
  </cols>
  <sheetData>
    <row r="1" spans="1:5" ht="22" customHeight="1" x14ac:dyDescent="0.4">
      <c r="A1" s="30" t="s">
        <v>72</v>
      </c>
      <c r="B1" s="3"/>
      <c r="C1" s="3"/>
      <c r="D1" s="3"/>
      <c r="E1" s="3"/>
    </row>
    <row r="2" spans="1:5" x14ac:dyDescent="0.35">
      <c r="A2" s="31" t="s">
        <v>73</v>
      </c>
      <c r="B2" s="1"/>
      <c r="C2" s="1"/>
      <c r="D2" s="1"/>
      <c r="E2" s="1"/>
    </row>
    <row r="3" spans="1:5" x14ac:dyDescent="0.35">
      <c r="A3" s="32" t="s">
        <v>2</v>
      </c>
      <c r="B3" s="32" t="s">
        <v>3</v>
      </c>
      <c r="C3" s="32" t="s">
        <v>74</v>
      </c>
      <c r="D3" s="32" t="s">
        <v>5</v>
      </c>
      <c r="E3" s="32" t="s">
        <v>6</v>
      </c>
    </row>
    <row r="4" spans="1:5" x14ac:dyDescent="0.35">
      <c r="A4" s="33">
        <v>46159</v>
      </c>
      <c r="B4" s="34" t="s">
        <v>75</v>
      </c>
      <c r="C4" s="35" t="s">
        <v>76</v>
      </c>
      <c r="D4" s="36">
        <v>8.82</v>
      </c>
      <c r="E4" s="35">
        <v>-8289</v>
      </c>
    </row>
    <row r="5" spans="1:5" x14ac:dyDescent="0.35">
      <c r="A5" s="11">
        <v>46162</v>
      </c>
      <c r="B5" s="12" t="s">
        <v>77</v>
      </c>
      <c r="C5" s="14" t="s">
        <v>76</v>
      </c>
      <c r="D5" s="13">
        <v>17.25</v>
      </c>
      <c r="E5" s="14">
        <v>-8289</v>
      </c>
    </row>
    <row r="6" spans="1:5" x14ac:dyDescent="0.35">
      <c r="A6" s="33">
        <v>46162</v>
      </c>
      <c r="B6" s="34" t="s">
        <v>78</v>
      </c>
      <c r="C6" s="35" t="s">
        <v>79</v>
      </c>
      <c r="D6" s="36">
        <v>5</v>
      </c>
      <c r="E6" s="35">
        <v>-8289</v>
      </c>
    </row>
    <row r="7" spans="1:5" x14ac:dyDescent="0.35">
      <c r="A7" s="11">
        <v>46164</v>
      </c>
      <c r="B7" s="12" t="s">
        <v>80</v>
      </c>
      <c r="C7" s="14" t="s">
        <v>76</v>
      </c>
      <c r="D7" s="13">
        <v>12.53</v>
      </c>
      <c r="E7" s="14">
        <v>-8289</v>
      </c>
    </row>
    <row r="8" spans="1:5" x14ac:dyDescent="0.35">
      <c r="A8" s="33">
        <v>46173</v>
      </c>
      <c r="B8" s="34" t="s">
        <v>81</v>
      </c>
      <c r="C8" s="35" t="s">
        <v>76</v>
      </c>
      <c r="D8" s="36">
        <v>7.53</v>
      </c>
      <c r="E8" s="35" t="s">
        <v>61</v>
      </c>
    </row>
    <row r="9" spans="1:5" x14ac:dyDescent="0.35">
      <c r="A9" s="11">
        <v>46173</v>
      </c>
      <c r="B9" s="12" t="s">
        <v>82</v>
      </c>
      <c r="C9" s="14" t="s">
        <v>76</v>
      </c>
      <c r="D9" s="13">
        <v>26.12</v>
      </c>
      <c r="E9" s="14">
        <v>-7552</v>
      </c>
    </row>
    <row r="10" spans="1:5" x14ac:dyDescent="0.35">
      <c r="A10" s="37"/>
      <c r="B10" s="32" t="s">
        <v>83</v>
      </c>
      <c r="C10" s="37"/>
      <c r="D10" s="38">
        <f>SUM(D4:D9)</f>
        <v>77.25</v>
      </c>
      <c r="E10" s="37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Expenses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2026-06-05T20:51:52Z</dcterms:created>
  <dcterms:modified xsi:type="dcterms:W3CDTF">2026-06-05T20:51:56Z</dcterms:modified>
</cp:coreProperties>
</file>