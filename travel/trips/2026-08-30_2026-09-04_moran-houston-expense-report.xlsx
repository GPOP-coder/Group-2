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ocuments\Group-2\travel\trips\"/>
    </mc:Choice>
  </mc:AlternateContent>
  <xr:revisionPtr revIDLastSave="0" documentId="8_{9900B980-10B4-4B03-96E8-13628C07AFF4}" xr6:coauthVersionLast="47" xr6:coauthVersionMax="47" xr10:uidLastSave="{00000000-0000-0000-0000-000000000000}"/>
  <bookViews>
    <workbookView xWindow="-103" yWindow="-103" windowWidth="20777" windowHeight="13200" xr2:uid="{BAC7F946-5A4A-4CAF-85F1-48F53C3A0739}"/>
  </bookViews>
  <sheets>
    <sheet name="ER Detail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7" i="1" l="1"/>
  <c r="B26" i="1"/>
  <c r="E26" i="1"/>
  <c r="B25" i="1"/>
  <c r="E25" i="1"/>
  <c r="B24" i="1"/>
  <c r="E24" i="1"/>
  <c r="B23" i="1"/>
  <c r="E23" i="1"/>
  <c r="B22" i="1"/>
  <c r="E22" i="1"/>
  <c r="B21" i="1"/>
  <c r="E21" i="1"/>
  <c r="B20" i="1"/>
  <c r="E20" i="1"/>
  <c r="B19" i="1"/>
  <c r="E19" i="1"/>
  <c r="B18" i="1"/>
  <c r="E18" i="1"/>
  <c r="B17" i="1"/>
  <c r="E17" i="1"/>
  <c r="B16" i="1"/>
  <c r="E16" i="1"/>
  <c r="B15" i="1"/>
  <c r="E15" i="1"/>
  <c r="B14" i="1"/>
  <c r="E14" i="1"/>
  <c r="B13" i="1"/>
  <c r="E13" i="1"/>
  <c r="B12" i="1"/>
  <c r="E12" i="1"/>
  <c r="E11" i="1"/>
  <c r="B11" i="1"/>
  <c r="E10" i="1"/>
  <c r="B10" i="1"/>
  <c r="E9" i="1"/>
  <c r="B9" i="1"/>
  <c r="E8" i="1"/>
  <c r="B8" i="1"/>
  <c r="E7" i="1"/>
  <c r="B7" i="1"/>
  <c r="E6" i="1"/>
  <c r="B6" i="1"/>
  <c r="E5" i="1"/>
  <c r="B5" i="1"/>
</calcChain>
</file>

<file path=xl/sharedStrings.xml><?xml version="1.0" encoding="utf-8"?>
<sst xmlns="http://schemas.openxmlformats.org/spreadsheetml/2006/main" count="78" uniqueCount="51">
  <si>
    <t>UNIFOCUS EXPENSE REPORT  |  The Moran, Houston - MakeReady Onsite Training</t>
  </si>
  <si>
    <t>Start Date:</t>
  </si>
  <si>
    <t>End Date:</t>
  </si>
  <si>
    <t>NAME:</t>
  </si>
  <si>
    <t>Pete Castellano</t>
  </si>
  <si>
    <t>Date</t>
  </si>
  <si>
    <t>Day</t>
  </si>
  <si>
    <t>Amount</t>
  </si>
  <si>
    <t>Exchange Rate</t>
  </si>
  <si>
    <t>Amt in USD</t>
  </si>
  <si>
    <t>Paid by</t>
  </si>
  <si>
    <t>Details</t>
  </si>
  <si>
    <t>Category</t>
  </si>
  <si>
    <t>Billable/UF</t>
  </si>
  <si>
    <t>Charge Code</t>
  </si>
  <si>
    <t>Charge Source</t>
  </si>
  <si>
    <t>PERSONAL</t>
  </si>
  <si>
    <t>SW OMA-HOU Hobby (BUKKAA): OMA dep 11:15am (WN4323) - HOU arr 1:30pm, seat 07A; Visa -2674</t>
  </si>
  <si>
    <t>Air Fare</t>
  </si>
  <si>
    <t>MakeReady - Onsite Training The Moran Houston</t>
  </si>
  <si>
    <t/>
  </si>
  <si>
    <t>Visa -2674</t>
  </si>
  <si>
    <t>Uber (driver Jose), HOU Airport (Hobby) -&gt; The Moran Hotel, 24.97 mi/39 min - UberX $34.81 + Airport Surcharge $2.75 + Booking Fee $7.76 + TX Regulatory Recovery Fee $0.62 + tip $13.00; Visa -2674</t>
  </si>
  <si>
    <t>Taxi/Train/Bus</t>
  </si>
  <si>
    <t>Seasons 52, Houston TX (842 W Sam Houston Pkwy N) - dinner: Coke Zero, Restaurant Week Dinner-Medium; Check 39582-4542, Table 214; Visa -2674</t>
  </si>
  <si>
    <t>Dinner</t>
  </si>
  <si>
    <t>bellagreen, Houston TX (800B Town and Country Blvd) - lunch: Blackened Shrimp Salad, fountain drink; Order 42 Dine-In; Visa -2674</t>
  </si>
  <si>
    <t>Lunch</t>
  </si>
  <si>
    <t>The Board Room, Houston TX (inside The Moran Hotel, 800 Sorella Court) - lunch: Ancient Grain Bowl, City Centre employee discount applied; Table B9; Visa -2674</t>
  </si>
  <si>
    <t>Uber (driver Justin), The Moran Hotel -&gt; HOU Airport (Hobby), 24.00 mi/33 min - UberX $35.66 + Airport Surcharge $2.75 + Booking Fee $8.92 + TX Regulatory Recovery Fee $0.64 + Wait Time $0.63 + tip $15.00; Visa -2674</t>
  </si>
  <si>
    <t>SW HOU Hobby-OMA (BUGYTC): HOU dep 8:15am (WN3570) - OMA arr 10:25am, seat 07A; Visa -2674</t>
  </si>
  <si>
    <t>TOTAL</t>
  </si>
  <si>
    <t>UNIFOCUS ER QUICK REFERENCE (from ER Cheat Sheet.pdf, dated 5/10/2021 - verify still current with Ralph if in doubt)</t>
  </si>
  <si>
    <t>Paid by: UF (Unifocus paid directly), PERSONAL (you paid), OTHER (company card).</t>
  </si>
  <si>
    <t>Category: Air Fare, Taxi/Train/Bus, Car Rental, Gas/Tolls, Parking, Hotel, Bkfst, Lunch, Dinner, Phone/Data, Computer, Other, Postage, Misc.</t>
  </si>
  <si>
    <t xml:space="preserve">  -&gt; Meals are split by meal period (Bkfst/Lunch/Dinner), not one generic Meals line.</t>
  </si>
  <si>
    <t>Billable/UF: enter the client name (MakeReady - Onsite Training The Moran Houston), or UF if not client-billable.</t>
  </si>
  <si>
    <t>Charge Code: leave BLANK when a client is billed. Only use code 62 if Unifocus itself is billed.</t>
  </si>
  <si>
    <t>Exchange Rate: always 1.00 for domestic travel.</t>
  </si>
  <si>
    <t>SUBMISSION (to Shilpa Bhando):</t>
  </si>
  <si>
    <t>- New email with two attachments: (1) completed Excel, named with your last name, (2) receipts as separate attachments or one combined PDF.</t>
  </si>
  <si>
    <t>- Airfare: original travel confirmation email is fine.</t>
  </si>
  <si>
    <t>- Meals/taxi: clear photo, amount and date legible.</t>
  </si>
  <si>
    <t>THE MORAN-SPECIFIC NOTES - THIS ER IS COMPLETE (confirmed by Pete 9/7/26):</t>
  </si>
  <si>
    <t>- HOTEL: comped by the property - not on this ER.</t>
  </si>
  <si>
    <t>- MEALS: only 3 meals were ever charged to Visa -2674 (8/30 Seasons 52 dinner, 8/31 bellagreen lunch, 9/1 Board Room lunch) - all 3 included below. Every other meal on the trip was comped to the room.</t>
  </si>
  <si>
    <t>- RETURN GROUND TRANSPORT: Uber (driver Justin), Moran Hotel -&gt; HOU Hobby, 9/4, $63.60 - included below.</t>
  </si>
  <si>
    <t>- CASH: $100 ATM withdrawal 8/30/26 (OMA) confirmed by Pete as trip cash for tips/non-reimbursable expenses - intentionally NOT on this ER.</t>
  </si>
  <si>
    <t>- RENTAL CAR: not used - trip was Uber-based throughout. N/A.</t>
  </si>
  <si>
    <t>- Source: travel/trips/2026-08-30_2026-09-04_moran-houston-receipt-log.md</t>
  </si>
  <si>
    <t>All 7 rows on this ER have a matching receipt archived in Personal Finance/Receipts/2026/.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</si>
</sst>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4381F"/>
        <bgColor indexed="64"/>
      </patternFill>
    </fill>
    <fill>
      <patternFill patternType="solid">
        <fgColor rgb="FF99FFFF"/>
        <bgColor indexed="64"/>
      </patternFill>
    </fill>
    <fill>
      <patternFill patternType="solid">
        <fgColor rgb="FFF0E4D6"/>
        <bgColor indexed="64"/>
      </patternFill>
    </fill>
    <fill>
      <patternFill patternType="solid">
        <fgColor rgb="FFB6752E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4" fontId="0" fillId="3" borderId="0" xfId="0" applyNumberFormat="1" applyFill="1"/>
    <xf numFmtId="0" fontId="0" fillId="4" borderId="0" xfId="0" applyFill="1"/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wrapText="1"/>
    </xf>
    <xf numFmtId="14" fontId="0" fillId="6" borderId="1" xfId="0" applyNumberFormat="1" applyFill="1" applyBorder="1"/>
    <xf numFmtId="0" fontId="0" fillId="6" borderId="1" xfId="0" applyFill="1" applyBorder="1" applyAlignment="1">
      <alignment horizontal="center"/>
    </xf>
    <xf numFmtId="164" fontId="0" fillId="6" borderId="1" xfId="0" applyNumberFormat="1" applyFill="1" applyBorder="1" applyAlignment="1">
      <alignment horizontal="right"/>
    </xf>
    <xf numFmtId="2" fontId="0" fillId="6" borderId="1" xfId="0" applyNumberFormat="1" applyFill="1" applyBorder="1" applyAlignment="1">
      <alignment horizontal="center"/>
    </xf>
    <xf numFmtId="0" fontId="0" fillId="6" borderId="1" xfId="0" applyFill="1" applyBorder="1"/>
    <xf numFmtId="49" fontId="0" fillId="6" borderId="1" xfId="0" applyNumberFormat="1" applyFill="1" applyBorder="1" applyAlignment="1">
      <alignment horizontal="center"/>
    </xf>
    <xf numFmtId="14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right"/>
    </xf>
    <xf numFmtId="2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9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  <xf numFmtId="49" fontId="0" fillId="4" borderId="1" xfId="0" applyNumberFormat="1" applyFill="1" applyBorder="1"/>
    <xf numFmtId="164" fontId="0" fillId="6" borderId="1" xfId="0" applyNumberFormat="1" applyFill="1" applyBorder="1"/>
    <xf numFmtId="49" fontId="0" fillId="6" borderId="1" xfId="0" applyNumberFormat="1" applyFill="1" applyBorder="1"/>
    <xf numFmtId="0" fontId="0" fillId="2" borderId="1" xfId="0" applyFill="1" applyBorder="1"/>
    <xf numFmtId="0" fontId="3" fillId="2" borderId="1" xfId="0" applyFont="1" applyFill="1" applyBorder="1"/>
    <xf numFmtId="16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BC6DE-374E-4AC3-9AD6-03FC1D4B95C4}">
  <sheetPr>
    <tabColor rgb="FFB6752E"/>
  </sheetPr>
  <dimension ref="A1:L27"/>
  <sheetViews>
    <sheetView tabSelected="1" workbookViewId="0">
      <pane ySplit="4" topLeftCell="A5" activePane="bottomLeft" state="frozen"/>
      <selection pane="bottomLeft" activeCell="A5" sqref="A5:XFD5"/>
    </sheetView>
  </sheetViews>
  <sheetFormatPr defaultRowHeight="14.6" x14ac:dyDescent="0.4"/>
  <cols>
    <col min="1" max="1" width="10.69140625" customWidth="1"/>
    <col min="2" max="2" width="6.69140625" customWidth="1"/>
    <col min="3" max="3" width="10.69140625" customWidth="1"/>
    <col min="4" max="4" width="9.69140625" customWidth="1"/>
    <col min="5" max="5" width="11.69140625" customWidth="1"/>
    <col min="6" max="6" width="10.69140625" customWidth="1"/>
    <col min="7" max="7" width="48.69140625" customWidth="1"/>
    <col min="8" max="8" width="12.69140625" customWidth="1"/>
    <col min="9" max="9" width="30.69140625" customWidth="1"/>
    <col min="10" max="10" width="10.69140625" customWidth="1"/>
    <col min="11" max="11" width="3.69140625" customWidth="1"/>
    <col min="12" max="12" width="20.69140625" customWidth="1"/>
  </cols>
  <sheetData>
    <row r="1" spans="1:12" ht="22" customHeight="1" x14ac:dyDescent="0.4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4">
      <c r="A2" s="3" t="s">
        <v>1</v>
      </c>
      <c r="B2" s="4">
        <v>46264</v>
      </c>
      <c r="D2" s="3" t="s">
        <v>2</v>
      </c>
      <c r="E2" s="4">
        <v>46269</v>
      </c>
      <c r="G2" s="3" t="s">
        <v>3</v>
      </c>
      <c r="H2" s="5" t="s">
        <v>4</v>
      </c>
    </row>
    <row r="4" spans="1:12" ht="28" customHeight="1" x14ac:dyDescent="0.4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7"/>
      <c r="L4" s="6" t="s">
        <v>15</v>
      </c>
    </row>
    <row r="5" spans="1:12" x14ac:dyDescent="0.4">
      <c r="A5" s="8">
        <v>46264</v>
      </c>
      <c r="B5" s="9" t="str">
        <f>TEXT(A5,"ddd")</f>
        <v>Sun</v>
      </c>
      <c r="C5" s="10">
        <v>254.4</v>
      </c>
      <c r="D5" s="11">
        <v>1</v>
      </c>
      <c r="E5" s="10">
        <f>C5*D5</f>
        <v>254.4</v>
      </c>
      <c r="F5" s="9" t="s">
        <v>16</v>
      </c>
      <c r="G5" s="12" t="s">
        <v>17</v>
      </c>
      <c r="H5" s="9" t="s">
        <v>18</v>
      </c>
      <c r="I5" s="12" t="s">
        <v>19</v>
      </c>
      <c r="J5" s="13" t="s">
        <v>20</v>
      </c>
      <c r="K5" s="12"/>
      <c r="L5" s="12" t="s">
        <v>21</v>
      </c>
    </row>
    <row r="6" spans="1:12" x14ac:dyDescent="0.4">
      <c r="A6" s="14">
        <v>46264</v>
      </c>
      <c r="B6" s="15" t="str">
        <f>TEXT(A6,"ddd")</f>
        <v>Sun</v>
      </c>
      <c r="C6" s="16">
        <v>58.94</v>
      </c>
      <c r="D6" s="17">
        <v>1</v>
      </c>
      <c r="E6" s="16">
        <f>C6*D6</f>
        <v>58.94</v>
      </c>
      <c r="F6" s="15" t="s">
        <v>16</v>
      </c>
      <c r="G6" s="18" t="s">
        <v>22</v>
      </c>
      <c r="H6" s="15" t="s">
        <v>23</v>
      </c>
      <c r="I6" s="18" t="s">
        <v>19</v>
      </c>
      <c r="J6" s="19" t="s">
        <v>20</v>
      </c>
      <c r="K6" s="12"/>
      <c r="L6" s="18" t="s">
        <v>21</v>
      </c>
    </row>
    <row r="7" spans="1:12" x14ac:dyDescent="0.4">
      <c r="A7" s="8">
        <v>46264</v>
      </c>
      <c r="B7" s="9" t="str">
        <f>TEXT(A7,"ddd")</f>
        <v>Sun</v>
      </c>
      <c r="C7" s="10">
        <v>55.86</v>
      </c>
      <c r="D7" s="11">
        <v>1</v>
      </c>
      <c r="E7" s="10">
        <f>C7*D7</f>
        <v>55.86</v>
      </c>
      <c r="F7" s="9" t="s">
        <v>16</v>
      </c>
      <c r="G7" s="12" t="s">
        <v>24</v>
      </c>
      <c r="H7" s="9" t="s">
        <v>25</v>
      </c>
      <c r="I7" s="12" t="s">
        <v>19</v>
      </c>
      <c r="J7" s="13" t="s">
        <v>20</v>
      </c>
      <c r="K7" s="12"/>
      <c r="L7" s="12" t="s">
        <v>21</v>
      </c>
    </row>
    <row r="8" spans="1:12" x14ac:dyDescent="0.4">
      <c r="A8" s="14">
        <v>46265</v>
      </c>
      <c r="B8" s="15" t="str">
        <f>TEXT(A8,"ddd")</f>
        <v>Mon</v>
      </c>
      <c r="C8" s="16">
        <v>24.62</v>
      </c>
      <c r="D8" s="17">
        <v>1</v>
      </c>
      <c r="E8" s="16">
        <f>C8*D8</f>
        <v>24.62</v>
      </c>
      <c r="F8" s="15" t="s">
        <v>16</v>
      </c>
      <c r="G8" s="18" t="s">
        <v>26</v>
      </c>
      <c r="H8" s="15" t="s">
        <v>27</v>
      </c>
      <c r="I8" s="18" t="s">
        <v>19</v>
      </c>
      <c r="J8" s="19" t="s">
        <v>20</v>
      </c>
      <c r="K8" s="12"/>
      <c r="L8" s="18" t="s">
        <v>21</v>
      </c>
    </row>
    <row r="9" spans="1:12" x14ac:dyDescent="0.4">
      <c r="A9" s="8">
        <v>46266</v>
      </c>
      <c r="B9" s="9" t="str">
        <f>TEXT(A9,"ddd")</f>
        <v>Tue</v>
      </c>
      <c r="C9" s="10">
        <v>23.48</v>
      </c>
      <c r="D9" s="11">
        <v>1</v>
      </c>
      <c r="E9" s="10">
        <f>C9*D9</f>
        <v>23.48</v>
      </c>
      <c r="F9" s="9" t="s">
        <v>16</v>
      </c>
      <c r="G9" s="12" t="s">
        <v>28</v>
      </c>
      <c r="H9" s="9" t="s">
        <v>27</v>
      </c>
      <c r="I9" s="12" t="s">
        <v>19</v>
      </c>
      <c r="J9" s="13" t="s">
        <v>20</v>
      </c>
      <c r="K9" s="12"/>
      <c r="L9" s="12" t="s">
        <v>21</v>
      </c>
    </row>
    <row r="10" spans="1:12" x14ac:dyDescent="0.4">
      <c r="A10" s="14">
        <v>46269</v>
      </c>
      <c r="B10" s="15" t="str">
        <f>TEXT(A10,"ddd")</f>
        <v>Fri</v>
      </c>
      <c r="C10" s="16">
        <v>63.6</v>
      </c>
      <c r="D10" s="17">
        <v>1</v>
      </c>
      <c r="E10" s="16">
        <f>C10*D10</f>
        <v>63.6</v>
      </c>
      <c r="F10" s="15" t="s">
        <v>16</v>
      </c>
      <c r="G10" s="18" t="s">
        <v>29</v>
      </c>
      <c r="H10" s="15" t="s">
        <v>23</v>
      </c>
      <c r="I10" s="18" t="s">
        <v>19</v>
      </c>
      <c r="J10" s="19" t="s">
        <v>20</v>
      </c>
      <c r="K10" s="12"/>
      <c r="L10" s="18" t="s">
        <v>21</v>
      </c>
    </row>
    <row r="11" spans="1:12" x14ac:dyDescent="0.4">
      <c r="A11" s="8">
        <v>46269</v>
      </c>
      <c r="B11" s="9" t="str">
        <f>TEXT(A11,"ddd")</f>
        <v>Fri</v>
      </c>
      <c r="C11" s="10">
        <v>365.4</v>
      </c>
      <c r="D11" s="11">
        <v>1</v>
      </c>
      <c r="E11" s="10">
        <f>C11*D11</f>
        <v>365.4</v>
      </c>
      <c r="F11" s="9" t="s">
        <v>16</v>
      </c>
      <c r="G11" s="12" t="s">
        <v>30</v>
      </c>
      <c r="H11" s="9" t="s">
        <v>18</v>
      </c>
      <c r="I11" s="12" t="s">
        <v>19</v>
      </c>
      <c r="J11" s="13" t="s">
        <v>20</v>
      </c>
      <c r="K11" s="12"/>
      <c r="L11" s="12" t="s">
        <v>21</v>
      </c>
    </row>
    <row r="12" spans="1:12" x14ac:dyDescent="0.4">
      <c r="A12" s="14"/>
      <c r="B12" s="15" t="str">
        <f>IF(A12="","",TEXT(A12,"ddd"))</f>
        <v/>
      </c>
      <c r="C12" s="20"/>
      <c r="D12" s="17">
        <v>1</v>
      </c>
      <c r="E12" s="16">
        <f>C12*D12</f>
        <v>0</v>
      </c>
      <c r="F12" s="18"/>
      <c r="G12" s="18"/>
      <c r="H12" s="18"/>
      <c r="I12" s="18"/>
      <c r="J12" s="21"/>
      <c r="K12" s="12"/>
      <c r="L12" s="18"/>
    </row>
    <row r="13" spans="1:12" x14ac:dyDescent="0.4">
      <c r="A13" s="8"/>
      <c r="B13" s="9" t="str">
        <f>IF(A13="","",TEXT(A13,"ddd"))</f>
        <v/>
      </c>
      <c r="C13" s="22"/>
      <c r="D13" s="11">
        <v>1</v>
      </c>
      <c r="E13" s="10">
        <f>C13*D13</f>
        <v>0</v>
      </c>
      <c r="F13" s="12"/>
      <c r="G13" s="12"/>
      <c r="H13" s="12"/>
      <c r="I13" s="12"/>
      <c r="J13" s="23"/>
      <c r="K13" s="12"/>
      <c r="L13" s="12"/>
    </row>
    <row r="14" spans="1:12" x14ac:dyDescent="0.4">
      <c r="A14" s="14"/>
      <c r="B14" s="15" t="str">
        <f>IF(A14="","",TEXT(A14,"ddd"))</f>
        <v/>
      </c>
      <c r="C14" s="20"/>
      <c r="D14" s="17">
        <v>1</v>
      </c>
      <c r="E14" s="16">
        <f>C14*D14</f>
        <v>0</v>
      </c>
      <c r="F14" s="18"/>
      <c r="G14" s="18"/>
      <c r="H14" s="18"/>
      <c r="I14" s="18"/>
      <c r="J14" s="21"/>
      <c r="K14" s="12"/>
      <c r="L14" s="18"/>
    </row>
    <row r="15" spans="1:12" x14ac:dyDescent="0.4">
      <c r="A15" s="8"/>
      <c r="B15" s="9" t="str">
        <f>IF(A15="","",TEXT(A15,"ddd"))</f>
        <v/>
      </c>
      <c r="C15" s="22"/>
      <c r="D15" s="11">
        <v>1</v>
      </c>
      <c r="E15" s="10">
        <f>C15*D15</f>
        <v>0</v>
      </c>
      <c r="F15" s="12"/>
      <c r="G15" s="12"/>
      <c r="H15" s="12"/>
      <c r="I15" s="12"/>
      <c r="J15" s="23"/>
      <c r="K15" s="12"/>
      <c r="L15" s="12"/>
    </row>
    <row r="16" spans="1:12" x14ac:dyDescent="0.4">
      <c r="A16" s="14"/>
      <c r="B16" s="15" t="str">
        <f>IF(A16="","",TEXT(A16,"ddd"))</f>
        <v/>
      </c>
      <c r="C16" s="20"/>
      <c r="D16" s="17">
        <v>1</v>
      </c>
      <c r="E16" s="16">
        <f>C16*D16</f>
        <v>0</v>
      </c>
      <c r="F16" s="18"/>
      <c r="G16" s="18"/>
      <c r="H16" s="18"/>
      <c r="I16" s="18"/>
      <c r="J16" s="21"/>
      <c r="K16" s="12"/>
      <c r="L16" s="18"/>
    </row>
    <row r="17" spans="1:12" x14ac:dyDescent="0.4">
      <c r="A17" s="8"/>
      <c r="B17" s="9" t="str">
        <f>IF(A17="","",TEXT(A17,"ddd"))</f>
        <v/>
      </c>
      <c r="C17" s="22"/>
      <c r="D17" s="11">
        <v>1</v>
      </c>
      <c r="E17" s="10">
        <f>C17*D17</f>
        <v>0</v>
      </c>
      <c r="F17" s="12"/>
      <c r="G17" s="12"/>
      <c r="H17" s="12"/>
      <c r="I17" s="12"/>
      <c r="J17" s="23"/>
      <c r="K17" s="12"/>
      <c r="L17" s="12"/>
    </row>
    <row r="18" spans="1:12" x14ac:dyDescent="0.4">
      <c r="A18" s="14"/>
      <c r="B18" s="15" t="str">
        <f>IF(A18="","",TEXT(A18,"ddd"))</f>
        <v/>
      </c>
      <c r="C18" s="20"/>
      <c r="D18" s="17">
        <v>1</v>
      </c>
      <c r="E18" s="16">
        <f>C18*D18</f>
        <v>0</v>
      </c>
      <c r="F18" s="18"/>
      <c r="G18" s="18"/>
      <c r="H18" s="18"/>
      <c r="I18" s="18"/>
      <c r="J18" s="21"/>
      <c r="K18" s="12"/>
      <c r="L18" s="18"/>
    </row>
    <row r="19" spans="1:12" x14ac:dyDescent="0.4">
      <c r="A19" s="8"/>
      <c r="B19" s="9" t="str">
        <f>IF(A19="","",TEXT(A19,"ddd"))</f>
        <v/>
      </c>
      <c r="C19" s="22"/>
      <c r="D19" s="11">
        <v>1</v>
      </c>
      <c r="E19" s="10">
        <f>C19*D19</f>
        <v>0</v>
      </c>
      <c r="F19" s="12"/>
      <c r="G19" s="12"/>
      <c r="H19" s="12"/>
      <c r="I19" s="12"/>
      <c r="J19" s="23"/>
      <c r="K19" s="12"/>
      <c r="L19" s="12"/>
    </row>
    <row r="20" spans="1:12" x14ac:dyDescent="0.4">
      <c r="A20" s="14"/>
      <c r="B20" s="15" t="str">
        <f>IF(A20="","",TEXT(A20,"ddd"))</f>
        <v/>
      </c>
      <c r="C20" s="20"/>
      <c r="D20" s="17">
        <v>1</v>
      </c>
      <c r="E20" s="16">
        <f>C20*D20</f>
        <v>0</v>
      </c>
      <c r="F20" s="18"/>
      <c r="G20" s="18"/>
      <c r="H20" s="18"/>
      <c r="I20" s="18"/>
      <c r="J20" s="21"/>
      <c r="K20" s="12"/>
      <c r="L20" s="18"/>
    </row>
    <row r="21" spans="1:12" x14ac:dyDescent="0.4">
      <c r="A21" s="8"/>
      <c r="B21" s="9" t="str">
        <f>IF(A21="","",TEXT(A21,"ddd"))</f>
        <v/>
      </c>
      <c r="C21" s="22"/>
      <c r="D21" s="11">
        <v>1</v>
      </c>
      <c r="E21" s="10">
        <f>C21*D21</f>
        <v>0</v>
      </c>
      <c r="F21" s="12"/>
      <c r="G21" s="12"/>
      <c r="H21" s="12"/>
      <c r="I21" s="12"/>
      <c r="J21" s="23"/>
      <c r="K21" s="12"/>
      <c r="L21" s="12"/>
    </row>
    <row r="22" spans="1:12" x14ac:dyDescent="0.4">
      <c r="A22" s="14"/>
      <c r="B22" s="15" t="str">
        <f>IF(A22="","",TEXT(A22,"ddd"))</f>
        <v/>
      </c>
      <c r="C22" s="20"/>
      <c r="D22" s="17">
        <v>1</v>
      </c>
      <c r="E22" s="16">
        <f>C22*D22</f>
        <v>0</v>
      </c>
      <c r="F22" s="18"/>
      <c r="G22" s="18"/>
      <c r="H22" s="18"/>
      <c r="I22" s="18"/>
      <c r="J22" s="21"/>
      <c r="K22" s="12"/>
      <c r="L22" s="18"/>
    </row>
    <row r="23" spans="1:12" x14ac:dyDescent="0.4">
      <c r="A23" s="8"/>
      <c r="B23" s="9" t="str">
        <f>IF(A23="","",TEXT(A23,"ddd"))</f>
        <v/>
      </c>
      <c r="C23" s="22"/>
      <c r="D23" s="11">
        <v>1</v>
      </c>
      <c r="E23" s="10">
        <f>C23*D23</f>
        <v>0</v>
      </c>
      <c r="F23" s="12"/>
      <c r="G23" s="12"/>
      <c r="H23" s="12"/>
      <c r="I23" s="12"/>
      <c r="J23" s="23"/>
      <c r="K23" s="12"/>
      <c r="L23" s="12"/>
    </row>
    <row r="24" spans="1:12" x14ac:dyDescent="0.4">
      <c r="A24" s="14"/>
      <c r="B24" s="15" t="str">
        <f>IF(A24="","",TEXT(A24,"ddd"))</f>
        <v/>
      </c>
      <c r="C24" s="20"/>
      <c r="D24" s="17">
        <v>1</v>
      </c>
      <c r="E24" s="16">
        <f>C24*D24</f>
        <v>0</v>
      </c>
      <c r="F24" s="18"/>
      <c r="G24" s="18"/>
      <c r="H24" s="18"/>
      <c r="I24" s="18"/>
      <c r="J24" s="21"/>
      <c r="K24" s="12"/>
      <c r="L24" s="18"/>
    </row>
    <row r="25" spans="1:12" x14ac:dyDescent="0.4">
      <c r="A25" s="8"/>
      <c r="B25" s="9" t="str">
        <f>IF(A25="","",TEXT(A25,"ddd"))</f>
        <v/>
      </c>
      <c r="C25" s="22"/>
      <c r="D25" s="11">
        <v>1</v>
      </c>
      <c r="E25" s="10">
        <f>C25*D25</f>
        <v>0</v>
      </c>
      <c r="F25" s="12"/>
      <c r="G25" s="12"/>
      <c r="H25" s="12"/>
      <c r="I25" s="12"/>
      <c r="J25" s="23"/>
      <c r="K25" s="12"/>
      <c r="L25" s="12"/>
    </row>
    <row r="26" spans="1:12" x14ac:dyDescent="0.4">
      <c r="A26" s="14"/>
      <c r="B26" s="15" t="str">
        <f>IF(A26="","",TEXT(A26,"ddd"))</f>
        <v/>
      </c>
      <c r="C26" s="20"/>
      <c r="D26" s="17">
        <v>1</v>
      </c>
      <c r="E26" s="16">
        <f>C26*D26</f>
        <v>0</v>
      </c>
      <c r="F26" s="18"/>
      <c r="G26" s="18"/>
      <c r="H26" s="18"/>
      <c r="I26" s="18"/>
      <c r="J26" s="21"/>
      <c r="K26" s="12"/>
      <c r="L26" s="18"/>
    </row>
    <row r="27" spans="1:12" x14ac:dyDescent="0.4">
      <c r="A27" s="24"/>
      <c r="B27" s="24"/>
      <c r="C27" s="24"/>
      <c r="D27" s="25" t="s">
        <v>31</v>
      </c>
      <c r="E27" s="26">
        <f>SUM(E5:E26)</f>
        <v>846.30000000000007</v>
      </c>
      <c r="F27" s="24"/>
      <c r="G27" s="24"/>
      <c r="H27" s="24"/>
      <c r="I27" s="24"/>
      <c r="J27" s="24"/>
      <c r="K27" s="24"/>
      <c r="L27" s="24"/>
    </row>
  </sheetData>
  <mergeCells count="1">
    <mergeCell ref="A1:L1"/>
  </mergeCells>
  <dataValidations count="2">
    <dataValidation type="list" allowBlank="1" showInputMessage="1" showErrorMessage="1" sqref="F5:F26" xr:uid="{AB1FB3A2-5E4A-47DE-AA6F-3F67967E16A9}">
      <formula1>"UF,PERSONAL,OTHER"</formula1>
    </dataValidation>
    <dataValidation type="list" allowBlank="1" showInputMessage="1" showErrorMessage="1" sqref="H5:H26" xr:uid="{CD9017BA-06BC-4C6A-A731-5D4F7DDE51C8}">
      <formula1>"Air Fare,Taxi/Train/Bus,Car Rental,Gas/Tolls,Parking,Hotel,Bkfst,Lunch,Dinner,Phone/Data,Computer,Other,Postage,Misc"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850AD-2B97-49B5-986B-1FFBEA64460F}">
  <sheetPr>
    <tabColor rgb="FFF0E4D6"/>
  </sheetPr>
  <dimension ref="A1:A23"/>
  <sheetViews>
    <sheetView workbookViewId="0"/>
  </sheetViews>
  <sheetFormatPr defaultRowHeight="14.6" x14ac:dyDescent="0.4"/>
  <cols>
    <col min="1" max="1" width="100.69140625" customWidth="1"/>
  </cols>
  <sheetData>
    <row r="1" spans="1:1" x14ac:dyDescent="0.4">
      <c r="A1" s="3" t="s">
        <v>32</v>
      </c>
    </row>
    <row r="3" spans="1:1" x14ac:dyDescent="0.4">
      <c r="A3" t="s">
        <v>33</v>
      </c>
    </row>
    <row r="4" spans="1:1" x14ac:dyDescent="0.4">
      <c r="A4" t="s">
        <v>34</v>
      </c>
    </row>
    <row r="5" spans="1:1" x14ac:dyDescent="0.4">
      <c r="A5" t="s">
        <v>35</v>
      </c>
    </row>
    <row r="6" spans="1:1" x14ac:dyDescent="0.4">
      <c r="A6" t="s">
        <v>36</v>
      </c>
    </row>
    <row r="7" spans="1:1" x14ac:dyDescent="0.4">
      <c r="A7" t="s">
        <v>37</v>
      </c>
    </row>
    <row r="8" spans="1:1" x14ac:dyDescent="0.4">
      <c r="A8" t="s">
        <v>38</v>
      </c>
    </row>
    <row r="10" spans="1:1" x14ac:dyDescent="0.4">
      <c r="A10" t="s">
        <v>39</v>
      </c>
    </row>
    <row r="11" spans="1:1" x14ac:dyDescent="0.4">
      <c r="A11" t="s">
        <v>40</v>
      </c>
    </row>
    <row r="12" spans="1:1" x14ac:dyDescent="0.4">
      <c r="A12" t="s">
        <v>41</v>
      </c>
    </row>
    <row r="13" spans="1:1" x14ac:dyDescent="0.4">
      <c r="A13" t="s">
        <v>42</v>
      </c>
    </row>
    <row r="15" spans="1:1" x14ac:dyDescent="0.4">
      <c r="A15" t="s">
        <v>43</v>
      </c>
    </row>
    <row r="16" spans="1:1" x14ac:dyDescent="0.4">
      <c r="A16" t="s">
        <v>44</v>
      </c>
    </row>
    <row r="17" spans="1:1" x14ac:dyDescent="0.4">
      <c r="A17" t="s">
        <v>45</v>
      </c>
    </row>
    <row r="18" spans="1:1" x14ac:dyDescent="0.4">
      <c r="A18" t="s">
        <v>46</v>
      </c>
    </row>
    <row r="19" spans="1:1" x14ac:dyDescent="0.4">
      <c r="A19" t="s">
        <v>47</v>
      </c>
    </row>
    <row r="20" spans="1:1" x14ac:dyDescent="0.4">
      <c r="A20" t="s">
        <v>48</v>
      </c>
    </row>
    <row r="21" spans="1:1" x14ac:dyDescent="0.4">
      <c r="A21" t="s">
        <v>49</v>
      </c>
    </row>
    <row r="23" spans="1:1" x14ac:dyDescent="0.4">
      <c r="A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 Detail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 Castellano</dc:creator>
  <cp:lastModifiedBy>Pete Castellano</cp:lastModifiedBy>
  <dcterms:created xsi:type="dcterms:W3CDTF">2026-09-07T22:28:23Z</dcterms:created>
  <dcterms:modified xsi:type="dcterms:W3CDTF">2026-09-07T22:28:31Z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5b3df47-8411-4936-b9ba-bd7d0b6abe65_Enabled">
    <vt:lpwstr>true</vt:lpwstr>
  </property>
  <property fmtid="{D5CDD505-2E9C-101B-9397-08002B2CF9AE}" pid="3" name="MSIP_Label_25b3df47-8411-4936-b9ba-bd7d0b6abe65_SetDate">
    <vt:lpwstr>2026-09-07T22:28:31Z</vt:lpwstr>
  </property>
  <property fmtid="{D5CDD505-2E9C-101B-9397-08002B2CF9AE}" pid="4" name="MSIP_Label_25b3df47-8411-4936-b9ba-bd7d0b6abe65_Method">
    <vt:lpwstr>Standard</vt:lpwstr>
  </property>
  <property fmtid="{D5CDD505-2E9C-101B-9397-08002B2CF9AE}" pid="5" name="MSIP_Label_25b3df47-8411-4936-b9ba-bd7d0b6abe65_Name">
    <vt:lpwstr>Sensitive</vt:lpwstr>
  </property>
  <property fmtid="{D5CDD505-2E9C-101B-9397-08002B2CF9AE}" pid="6" name="MSIP_Label_25b3df47-8411-4936-b9ba-bd7d0b6abe65_SiteId">
    <vt:lpwstr>5d78c979-1c5b-4cb4-9ad2-0cbf360bc2d5</vt:lpwstr>
  </property>
  <property fmtid="{D5CDD505-2E9C-101B-9397-08002B2CF9AE}" pid="7" name="MSIP_Label_25b3df47-8411-4936-b9ba-bd7d0b6abe65_ActionId">
    <vt:lpwstr>3cd2e009-ab06-40fa-ac90-f0dfa3169c9d</vt:lpwstr>
  </property>
  <property fmtid="{D5CDD505-2E9C-101B-9397-08002B2CF9AE}" pid="8" name="MSIP_Label_25b3df47-8411-4936-b9ba-bd7d0b6abe65_ContentBits">
    <vt:lpwstr>0</vt:lpwstr>
  </property>
  <property fmtid="{D5CDD505-2E9C-101B-9397-08002B2CF9AE}" pid="9" name="MSIP_Label_25b3df47-8411-4936-b9ba-bd7d0b6abe65_Tag">
    <vt:lpwstr>10, 3, 0, 1</vt:lpwstr>
  </property>
</Properties>
</file>