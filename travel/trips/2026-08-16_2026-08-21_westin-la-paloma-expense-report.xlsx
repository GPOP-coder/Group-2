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90A134E9-B2B0-4C20-892A-04419D1EDCDF}" xr6:coauthVersionLast="47" xr6:coauthVersionMax="47" xr10:uidLastSave="{00000000-0000-0000-0000-000000000000}"/>
  <bookViews>
    <workbookView xWindow="1480" yWindow="1480" windowWidth="14400" windowHeight="8170" xr2:uid="{AB226A7D-3AA8-4D08-956B-C38E270B2EAC}"/>
  </bookViews>
  <sheets>
    <sheet name="ER Detai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B19" i="1"/>
  <c r="E19" i="1"/>
  <c r="B18" i="1"/>
  <c r="E18" i="1"/>
  <c r="B17" i="1"/>
  <c r="E17" i="1"/>
  <c r="B16" i="1"/>
  <c r="E16" i="1"/>
  <c r="B15" i="1"/>
  <c r="E15" i="1"/>
  <c r="B14" i="1"/>
  <c r="E14" i="1"/>
  <c r="B13" i="1"/>
  <c r="E13" i="1"/>
  <c r="B12" i="1"/>
  <c r="E12" i="1"/>
  <c r="B11" i="1"/>
  <c r="E11" i="1"/>
  <c r="B10" i="1"/>
  <c r="E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<sst xmlns="http://schemas.openxmlformats.org/spreadsheetml/2006/main" count="57" uniqueCount="43">
  <si>
    <t>UNIFOCUS EXPENSE REPORT  |  Westin La Paloma - HMAlpha Onsite Training</t>
  </si>
  <si>
    <t>Start Date:</t>
  </si>
  <si>
    <t>End Date:</t>
  </si>
  <si>
    <t>NAME:</t>
  </si>
  <si>
    <t>Pete Castellano</t>
  </si>
  <si>
    <t>Date</t>
  </si>
  <si>
    <t>Day</t>
  </si>
  <si>
    <t>Amount</t>
  </si>
  <si>
    <t>Exchange Rate</t>
  </si>
  <si>
    <t>Amt in USD</t>
  </si>
  <si>
    <t>Paid by</t>
  </si>
  <si>
    <t>Details</t>
  </si>
  <si>
    <t>Category</t>
  </si>
  <si>
    <t>Billable/UF</t>
  </si>
  <si>
    <t>Charge Code</t>
  </si>
  <si>
    <t>PERSONAL</t>
  </si>
  <si>
    <t>SW OMA-DEN-TUS (BQR3JN): OMA dep 1:15pm (WN1511) - DEN 1:50pm - DEN dep 5:25pm (WN4214) - TUS 6:25pm, seats 22A/26F; Visa -2674</t>
  </si>
  <si>
    <t>Air Fare</t>
  </si>
  <si>
    <t>HM Alpha - Onsite Training Westin La Paloma</t>
  </si>
  <si>
    <t/>
  </si>
  <si>
    <t>Marczyk's Fine Foods, Denver Airport (DEN layover, outbound) - lunch; Visa -2674</t>
  </si>
  <si>
    <t>Lunch</t>
  </si>
  <si>
    <t>Uber (driver Clark), TUS Airport -&gt; Westin La Paloma, 16.63 mi/36 min - UberX .89 + Airport Surcharge .00 + Booking Fee .05 + tip .79; Visa -2674</t>
  </si>
  <si>
    <t>Taxi/Train/Bus</t>
  </si>
  <si>
    <t>Marczyk's Fine Foods, Denver Airport (DEN layover, return) - lunch: Mediterranean Chicken Wrap, Genoa/Prosciutto Snack Pack, Marion Milk Choco Sea Salt, Essentia Water; Visa -2674</t>
  </si>
  <si>
    <t>SW TUS-DEN-OMA (A9QZXC): TUS dep 11:40am (WN2406) - DEN 2:30pm - DEN dep 3:15pm (WN4717) - OMA 5:40pm, seats 19A/09D; Visa -2674</t>
  </si>
  <si>
    <t>TOTAL</t>
  </si>
  <si>
    <t>UNIFOCUS ER QUICK REFERENCE (from ER Cheat Sheet.pdf, dated 5/10/2021 - verify still current with Ralph if in doubt)</t>
  </si>
  <si>
    <t>Paid by: UF (Unifocus paid directly), PERSONAL (you paid), OTHER (company card).</t>
  </si>
  <si>
    <t>Category: Air Fare, Taxi/Train/Bus, Car Rental, Gas/Tolls, Parking, Hotel, Bkfst, Lunch, Dinner, Phone/Data, Computer, Other, Postage, Misc.</t>
  </si>
  <si>
    <t xml:space="preserve">  -&gt; Meals are split by meal period (Bkfst/Lunch/Dinner), not one generic Meals line.</t>
  </si>
  <si>
    <t>Billable/UF: enter the client name (HM Alpha - Onsite Training Westin La Paloma), or UF if not client-billable.</t>
  </si>
  <si>
    <t>Charge Code: leave BLANK when a client is billed. Only use code 62 if Unifocus itself is billed.</t>
  </si>
  <si>
    <t>Exchange Rate: always 1.00 for domestic travel.</t>
  </si>
  <si>
    <t>SUBMISSION (to Ralph Varble):</t>
  </si>
  <si>
    <t>- New email with two attachments: (1) completed Excel, named with your last name, (2) receipts as separate attachments or one combined PDF.</t>
  </si>
  <si>
    <t>- Airfare: original travel confirmation email is fine.</t>
  </si>
  <si>
    <t>- Meals/taxi: clear photo, amount and date legible.</t>
  </si>
  <si>
    <t>WESTIN LA PALOMA-SPECIFIC NOTES:</t>
  </si>
  <si>
    <t>- Hotel comped by the property (confirmation #1488816: room, tax, resort charge, parking, F&amp;B no alcohol) - not on this ER.</t>
  </si>
  <si>
    <t>- No OMA-side ground transport - Kim picked Pete up on return, no Uber/taxi expense either direction at OMA.</t>
  </si>
  <si>
    <t>- Source: travel/trips/2026-08-16_2026-08-21_westin-la-paloma-receipt-log.md</t>
  </si>
  <si>
    <t>All receipts archived to Personal Finance/Receipts/2026/ - ready to submit to Ralph Varble.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</si>
</sst>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3" borderId="0" xfId="0" applyNumberFormat="1" applyFill="1"/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49" fontId="0" fillId="4" borderId="1" xfId="0" applyNumberFormat="1" applyFill="1" applyBorder="1"/>
    <xf numFmtId="164" fontId="0" fillId="6" borderId="1" xfId="0" applyNumberFormat="1" applyFill="1" applyBorder="1"/>
    <xf numFmtId="49" fontId="0" fillId="6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6A75-CF43-49DE-BCC7-17E14D83C656}">
  <sheetPr>
    <tabColor rgb="FFB6752E"/>
  </sheetPr>
  <dimension ref="A1:J20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4.5" x14ac:dyDescent="0.35"/>
  <cols>
    <col min="1" max="1" width="10.6328125" customWidth="1"/>
    <col min="2" max="2" width="6.6328125" customWidth="1"/>
    <col min="3" max="3" width="10.6328125" customWidth="1"/>
    <col min="4" max="4" width="9.6328125" customWidth="1"/>
    <col min="5" max="5" width="11.6328125" customWidth="1"/>
    <col min="6" max="6" width="10.6328125" customWidth="1"/>
    <col min="7" max="7" width="48.6328125" customWidth="1"/>
    <col min="8" max="8" width="12.6328125" customWidth="1"/>
    <col min="9" max="9" width="30.6328125" customWidth="1"/>
    <col min="10" max="10" width="10.6328125" customWidth="1"/>
  </cols>
  <sheetData>
    <row r="1" spans="1:10" ht="22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4">
        <v>46250</v>
      </c>
      <c r="D2" s="3" t="s">
        <v>2</v>
      </c>
      <c r="E2" s="4">
        <v>46255</v>
      </c>
      <c r="G2" s="3" t="s">
        <v>3</v>
      </c>
      <c r="H2" s="5" t="s">
        <v>4</v>
      </c>
    </row>
    <row r="4" spans="1:10" ht="28" customHeight="1" x14ac:dyDescent="0.3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spans="1:10" x14ac:dyDescent="0.35">
      <c r="A5" s="7">
        <v>46250</v>
      </c>
      <c r="B5" s="8" t="str">
        <f>TEXT(A5,"ddd")</f>
        <v>Sun</v>
      </c>
      <c r="C5" s="9">
        <v>528.20000000000005</v>
      </c>
      <c r="D5" s="10">
        <v>1</v>
      </c>
      <c r="E5" s="9">
        <f>C5*D5</f>
        <v>528.20000000000005</v>
      </c>
      <c r="F5" s="8" t="s">
        <v>15</v>
      </c>
      <c r="G5" s="11" t="s">
        <v>16</v>
      </c>
      <c r="H5" s="8" t="s">
        <v>17</v>
      </c>
      <c r="I5" s="11" t="s">
        <v>18</v>
      </c>
      <c r="J5" s="12" t="s">
        <v>19</v>
      </c>
    </row>
    <row r="6" spans="1:10" x14ac:dyDescent="0.35">
      <c r="A6" s="13">
        <v>46250</v>
      </c>
      <c r="B6" s="14" t="str">
        <f>TEXT(A6,"ddd")</f>
        <v>Sun</v>
      </c>
      <c r="C6" s="15">
        <v>31.02</v>
      </c>
      <c r="D6" s="16">
        <v>1</v>
      </c>
      <c r="E6" s="15">
        <f>C6*D6</f>
        <v>31.02</v>
      </c>
      <c r="F6" s="14" t="s">
        <v>15</v>
      </c>
      <c r="G6" s="17" t="s">
        <v>20</v>
      </c>
      <c r="H6" s="14" t="s">
        <v>21</v>
      </c>
      <c r="I6" s="17" t="s">
        <v>18</v>
      </c>
      <c r="J6" s="18" t="s">
        <v>19</v>
      </c>
    </row>
    <row r="7" spans="1:10" x14ac:dyDescent="0.35">
      <c r="A7" s="7">
        <v>46250</v>
      </c>
      <c r="B7" s="8" t="str">
        <f>TEXT(A7,"ddd")</f>
        <v>Sun</v>
      </c>
      <c r="C7" s="9">
        <v>46.73</v>
      </c>
      <c r="D7" s="10">
        <v>1</v>
      </c>
      <c r="E7" s="9">
        <f>C7*D7</f>
        <v>46.73</v>
      </c>
      <c r="F7" s="8" t="s">
        <v>15</v>
      </c>
      <c r="G7" s="11" t="s">
        <v>22</v>
      </c>
      <c r="H7" s="8" t="s">
        <v>23</v>
      </c>
      <c r="I7" s="11" t="s">
        <v>18</v>
      </c>
      <c r="J7" s="12" t="s">
        <v>19</v>
      </c>
    </row>
    <row r="8" spans="1:10" x14ac:dyDescent="0.35">
      <c r="A8" s="13">
        <v>46255</v>
      </c>
      <c r="B8" s="14" t="str">
        <f>TEXT(A8,"ddd")</f>
        <v>Fri</v>
      </c>
      <c r="C8" s="15">
        <v>37.49</v>
      </c>
      <c r="D8" s="16">
        <v>1</v>
      </c>
      <c r="E8" s="15">
        <f>C8*D8</f>
        <v>37.49</v>
      </c>
      <c r="F8" s="14" t="s">
        <v>15</v>
      </c>
      <c r="G8" s="17" t="s">
        <v>24</v>
      </c>
      <c r="H8" s="14" t="s">
        <v>21</v>
      </c>
      <c r="I8" s="17" t="s">
        <v>18</v>
      </c>
      <c r="J8" s="18" t="s">
        <v>19</v>
      </c>
    </row>
    <row r="9" spans="1:10" x14ac:dyDescent="0.35">
      <c r="A9" s="7">
        <v>46255</v>
      </c>
      <c r="B9" s="8" t="str">
        <f>TEXT(A9,"ddd")</f>
        <v>Fri</v>
      </c>
      <c r="C9" s="9">
        <v>453.2</v>
      </c>
      <c r="D9" s="10">
        <v>1</v>
      </c>
      <c r="E9" s="9">
        <f>C9*D9</f>
        <v>453.2</v>
      </c>
      <c r="F9" s="8" t="s">
        <v>15</v>
      </c>
      <c r="G9" s="11" t="s">
        <v>25</v>
      </c>
      <c r="H9" s="8" t="s">
        <v>17</v>
      </c>
      <c r="I9" s="11" t="s">
        <v>18</v>
      </c>
      <c r="J9" s="12" t="s">
        <v>19</v>
      </c>
    </row>
    <row r="10" spans="1:10" x14ac:dyDescent="0.35">
      <c r="A10" s="13"/>
      <c r="B10" s="14" t="str">
        <f>IF(A10="","",TEXT(A10,"ddd"))</f>
        <v/>
      </c>
      <c r="C10" s="19"/>
      <c r="D10" s="16">
        <v>1</v>
      </c>
      <c r="E10" s="15">
        <f>C10*D10</f>
        <v>0</v>
      </c>
      <c r="F10" s="17"/>
      <c r="G10" s="17"/>
      <c r="H10" s="17"/>
      <c r="I10" s="17"/>
      <c r="J10" s="20"/>
    </row>
    <row r="11" spans="1:10" x14ac:dyDescent="0.35">
      <c r="A11" s="7"/>
      <c r="B11" s="8" t="str">
        <f>IF(A11="","",TEXT(A11,"ddd"))</f>
        <v/>
      </c>
      <c r="C11" s="21"/>
      <c r="D11" s="10">
        <v>1</v>
      </c>
      <c r="E11" s="9">
        <f>C11*D11</f>
        <v>0</v>
      </c>
      <c r="F11" s="11"/>
      <c r="G11" s="11"/>
      <c r="H11" s="11"/>
      <c r="I11" s="11"/>
      <c r="J11" s="22"/>
    </row>
    <row r="12" spans="1:10" x14ac:dyDescent="0.35">
      <c r="A12" s="13"/>
      <c r="B12" s="14" t="str">
        <f>IF(A12="","",TEXT(A12,"ddd"))</f>
        <v/>
      </c>
      <c r="C12" s="19"/>
      <c r="D12" s="16">
        <v>1</v>
      </c>
      <c r="E12" s="15">
        <f>C12*D12</f>
        <v>0</v>
      </c>
      <c r="F12" s="17"/>
      <c r="G12" s="17"/>
      <c r="H12" s="17"/>
      <c r="I12" s="17"/>
      <c r="J12" s="20"/>
    </row>
    <row r="13" spans="1:10" x14ac:dyDescent="0.35">
      <c r="A13" s="7"/>
      <c r="B13" s="8" t="str">
        <f>IF(A13="","",TEXT(A13,"ddd"))</f>
        <v/>
      </c>
      <c r="C13" s="21"/>
      <c r="D13" s="10">
        <v>1</v>
      </c>
      <c r="E13" s="9">
        <f>C13*D13</f>
        <v>0</v>
      </c>
      <c r="F13" s="11"/>
      <c r="G13" s="11"/>
      <c r="H13" s="11"/>
      <c r="I13" s="11"/>
      <c r="J13" s="22"/>
    </row>
    <row r="14" spans="1:10" x14ac:dyDescent="0.35">
      <c r="A14" s="13"/>
      <c r="B14" s="14" t="str">
        <f>IF(A14="","",TEXT(A14,"ddd"))</f>
        <v/>
      </c>
      <c r="C14" s="19"/>
      <c r="D14" s="16">
        <v>1</v>
      </c>
      <c r="E14" s="15">
        <f>C14*D14</f>
        <v>0</v>
      </c>
      <c r="F14" s="17"/>
      <c r="G14" s="17"/>
      <c r="H14" s="17"/>
      <c r="I14" s="17"/>
      <c r="J14" s="20"/>
    </row>
    <row r="15" spans="1:10" x14ac:dyDescent="0.35">
      <c r="A15" s="7"/>
      <c r="B15" s="8" t="str">
        <f>IF(A15="","",TEXT(A15,"ddd"))</f>
        <v/>
      </c>
      <c r="C15" s="21"/>
      <c r="D15" s="10">
        <v>1</v>
      </c>
      <c r="E15" s="9">
        <f>C15*D15</f>
        <v>0</v>
      </c>
      <c r="F15" s="11"/>
      <c r="G15" s="11"/>
      <c r="H15" s="11"/>
      <c r="I15" s="11"/>
      <c r="J15" s="22"/>
    </row>
    <row r="16" spans="1:10" x14ac:dyDescent="0.35">
      <c r="A16" s="13"/>
      <c r="B16" s="14" t="str">
        <f>IF(A16="","",TEXT(A16,"ddd"))</f>
        <v/>
      </c>
      <c r="C16" s="19"/>
      <c r="D16" s="16">
        <v>1</v>
      </c>
      <c r="E16" s="15">
        <f>C16*D16</f>
        <v>0</v>
      </c>
      <c r="F16" s="17"/>
      <c r="G16" s="17"/>
      <c r="H16" s="17"/>
      <c r="I16" s="17"/>
      <c r="J16" s="20"/>
    </row>
    <row r="17" spans="1:10" x14ac:dyDescent="0.35">
      <c r="A17" s="7"/>
      <c r="B17" s="8" t="str">
        <f>IF(A17="","",TEXT(A17,"ddd"))</f>
        <v/>
      </c>
      <c r="C17" s="21"/>
      <c r="D17" s="10">
        <v>1</v>
      </c>
      <c r="E17" s="9">
        <f>C17*D17</f>
        <v>0</v>
      </c>
      <c r="F17" s="11"/>
      <c r="G17" s="11"/>
      <c r="H17" s="11"/>
      <c r="I17" s="11"/>
      <c r="J17" s="22"/>
    </row>
    <row r="18" spans="1:10" x14ac:dyDescent="0.35">
      <c r="A18" s="13"/>
      <c r="B18" s="14" t="str">
        <f>IF(A18="","",TEXT(A18,"ddd"))</f>
        <v/>
      </c>
      <c r="C18" s="19"/>
      <c r="D18" s="16">
        <v>1</v>
      </c>
      <c r="E18" s="15">
        <f>C18*D18</f>
        <v>0</v>
      </c>
      <c r="F18" s="17"/>
      <c r="G18" s="17"/>
      <c r="H18" s="17"/>
      <c r="I18" s="17"/>
      <c r="J18" s="20"/>
    </row>
    <row r="19" spans="1:10" x14ac:dyDescent="0.35">
      <c r="A19" s="7"/>
      <c r="B19" s="8" t="str">
        <f>IF(A19="","",TEXT(A19,"ddd"))</f>
        <v/>
      </c>
      <c r="C19" s="21"/>
      <c r="D19" s="10">
        <v>1</v>
      </c>
      <c r="E19" s="9">
        <f>C19*D19</f>
        <v>0</v>
      </c>
      <c r="F19" s="11"/>
      <c r="G19" s="11"/>
      <c r="H19" s="11"/>
      <c r="I19" s="11"/>
      <c r="J19" s="22"/>
    </row>
    <row r="20" spans="1:10" x14ac:dyDescent="0.35">
      <c r="A20" s="23"/>
      <c r="B20" s="23"/>
      <c r="C20" s="23"/>
      <c r="D20" s="24" t="s">
        <v>26</v>
      </c>
      <c r="E20" s="25">
        <f>SUM(E5:E19)</f>
        <v>1096.6400000000001</v>
      </c>
      <c r="F20" s="23"/>
      <c r="G20" s="23"/>
      <c r="H20" s="23"/>
      <c r="I20" s="23"/>
      <c r="J20" s="23"/>
    </row>
  </sheetData>
  <mergeCells count="1">
    <mergeCell ref="A1:J1"/>
  </mergeCells>
  <dataValidations count="2">
    <dataValidation type="list" allowBlank="1" showInputMessage="1" showErrorMessage="1" sqref="F5:F19" xr:uid="{B3B2890C-BC3E-4702-A1D4-31227A3AEA5A}">
      <formula1>"UF,PERSONAL,OTHER"</formula1>
    </dataValidation>
    <dataValidation type="list" allowBlank="1" showInputMessage="1" showErrorMessage="1" sqref="H5:H19" xr:uid="{01019E97-1391-4393-BF14-260AA9565606}">
      <formula1>"Air Fare,Taxi/Train/Bus,Car Rental,Gas/Tolls,Parking,Hotel,Bkfst,Lunch,Dinner,Phone/Data,Computer,Other,Postage,Misc"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C2B3-D904-4454-AD82-A97B47B8C71C}">
  <sheetPr>
    <tabColor rgb="FFF0E4D6"/>
  </sheetPr>
  <dimension ref="A1:A20"/>
  <sheetViews>
    <sheetView workbookViewId="0"/>
  </sheetViews>
  <sheetFormatPr defaultRowHeight="14.5" x14ac:dyDescent="0.35"/>
  <cols>
    <col min="1" max="1" width="100.6328125" customWidth="1"/>
  </cols>
  <sheetData>
    <row r="1" spans="1:1" x14ac:dyDescent="0.35">
      <c r="A1" s="3" t="s">
        <v>27</v>
      </c>
    </row>
    <row r="3" spans="1:1" x14ac:dyDescent="0.35">
      <c r="A3" t="s">
        <v>28</v>
      </c>
    </row>
    <row r="4" spans="1:1" x14ac:dyDescent="0.35">
      <c r="A4" t="s">
        <v>29</v>
      </c>
    </row>
    <row r="5" spans="1:1" x14ac:dyDescent="0.35">
      <c r="A5" t="s">
        <v>30</v>
      </c>
    </row>
    <row r="6" spans="1:1" x14ac:dyDescent="0.35">
      <c r="A6" t="s">
        <v>31</v>
      </c>
    </row>
    <row r="7" spans="1:1" x14ac:dyDescent="0.35">
      <c r="A7" t="s">
        <v>32</v>
      </c>
    </row>
    <row r="8" spans="1:1" x14ac:dyDescent="0.35">
      <c r="A8" t="s">
        <v>33</v>
      </c>
    </row>
    <row r="10" spans="1:1" x14ac:dyDescent="0.35">
      <c r="A10" t="s">
        <v>34</v>
      </c>
    </row>
    <row r="11" spans="1:1" x14ac:dyDescent="0.35">
      <c r="A11" t="s">
        <v>35</v>
      </c>
    </row>
    <row r="12" spans="1:1" x14ac:dyDescent="0.35">
      <c r="A12" t="s">
        <v>36</v>
      </c>
    </row>
    <row r="13" spans="1:1" x14ac:dyDescent="0.35">
      <c r="A13" t="s">
        <v>37</v>
      </c>
    </row>
    <row r="15" spans="1:1" x14ac:dyDescent="0.35">
      <c r="A15" t="s">
        <v>38</v>
      </c>
    </row>
    <row r="16" spans="1:1" x14ac:dyDescent="0.35">
      <c r="A16" t="s">
        <v>39</v>
      </c>
    </row>
    <row r="17" spans="1:1" x14ac:dyDescent="0.35">
      <c r="A17" t="s">
        <v>40</v>
      </c>
    </row>
    <row r="18" spans="1:1" x14ac:dyDescent="0.35">
      <c r="A18" t="s">
        <v>41</v>
      </c>
    </row>
    <row r="20" spans="1:1" x14ac:dyDescent="0.35">
      <c r="A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 Detail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2026-08-29T03:38:08Z</dcterms:created>
  <dcterms:modified xsi:type="dcterms:W3CDTF">2026-08-29T03:38:11Z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b3df47-8411-4936-b9ba-bd7d0b6abe65_Enabled">
    <vt:lpwstr>true</vt:lpwstr>
  </property>
  <property fmtid="{D5CDD505-2E9C-101B-9397-08002B2CF9AE}" pid="3" name="MSIP_Label_25b3df47-8411-4936-b9ba-bd7d0b6abe65_SetDate">
    <vt:lpwstr>2026-08-29T03:38:11Z</vt:lpwstr>
  </property>
  <property fmtid="{D5CDD505-2E9C-101B-9397-08002B2CF9AE}" pid="4" name="MSIP_Label_25b3df47-8411-4936-b9ba-bd7d0b6abe65_Method">
    <vt:lpwstr>Standard</vt:lpwstr>
  </property>
  <property fmtid="{D5CDD505-2E9C-101B-9397-08002B2CF9AE}" pid="5" name="MSIP_Label_25b3df47-8411-4936-b9ba-bd7d0b6abe65_Name">
    <vt:lpwstr>Sensitive</vt:lpwstr>
  </property>
  <property fmtid="{D5CDD505-2E9C-101B-9397-08002B2CF9AE}" pid="6" name="MSIP_Label_25b3df47-8411-4936-b9ba-bd7d0b6abe65_SiteId">
    <vt:lpwstr>5d78c979-1c5b-4cb4-9ad2-0cbf360bc2d5</vt:lpwstr>
  </property>
  <property fmtid="{D5CDD505-2E9C-101B-9397-08002B2CF9AE}" pid="7" name="MSIP_Label_25b3df47-8411-4936-b9ba-bd7d0b6abe65_ActionId">
    <vt:lpwstr>59a405a4-56d7-40b1-8e49-59dd5198709a</vt:lpwstr>
  </property>
  <property fmtid="{D5CDD505-2E9C-101B-9397-08002B2CF9AE}" pid="8" name="MSIP_Label_25b3df47-8411-4936-b9ba-bd7d0b6abe65_ContentBits">
    <vt:lpwstr>0</vt:lpwstr>
  </property>
  <property fmtid="{D5CDD505-2E9C-101B-9397-08002B2CF9AE}" pid="9" name="MSIP_Label_25b3df47-8411-4936-b9ba-bd7d0b6abe65_Tag">
    <vt:lpwstr>10, 3, 0, 1</vt:lpwstr>
  </property>
</Properties>
</file>